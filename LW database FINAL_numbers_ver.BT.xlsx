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PINAN\Desktop\"/>
    </mc:Choice>
  </mc:AlternateContent>
  <xr:revisionPtr revIDLastSave="0" documentId="8_{2A2B6EC8-2A55-4E27-AAEE-716800A6E55C}" xr6:coauthVersionLast="47" xr6:coauthVersionMax="47" xr10:uidLastSave="{00000000-0000-0000-0000-000000000000}"/>
  <bookViews>
    <workbookView xWindow="-110" yWindow="-110" windowWidth="19420" windowHeight="10300" activeTab="1" xr2:uid="{D98EF718-A5A5-44E1-97E0-E36692A75B1B}"/>
  </bookViews>
  <sheets>
    <sheet name="Note" sheetId="3" r:id="rId1"/>
    <sheet name="Wage Data Hub" sheetId="1" r:id="rId2"/>
    <sheet name="India regions" sheetId="2" r:id="rId3"/>
  </sheets>
  <definedNames>
    <definedName name="_xlnm._FilterDatabase" localSheetId="1" hidden="1">'Wage Data Hub'!$A$3:$Y$288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3" i="1" l="1"/>
  <c r="V42" i="1"/>
  <c r="V41" i="1"/>
  <c r="V51" i="1"/>
  <c r="V50" i="1"/>
  <c r="V49" i="1"/>
  <c r="V48" i="1"/>
  <c r="V47" i="1"/>
  <c r="V52" i="1"/>
  <c r="V46" i="1"/>
  <c r="V44" i="1"/>
  <c r="V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tc={572B02C2-43D6-4C87-95F7-D96B32962FC1}</author>
    <author>tc={65EBC4BE-1CD0-4B13-BBEE-5D72F1889E21}</author>
    <author>tc={2D2633F6-10EB-44EC-8B37-B376D4DB8755}</author>
  </authors>
  <commentList>
    <comment ref="V60" authorId="0" shapeId="0" xr:uid="{572B02C2-43D6-4C87-95F7-D96B32962FC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change for 2021 due to pandemic</t>
      </text>
    </comment>
    <comment ref="V63" authorId="1" shapeId="0" xr:uid="{65EBC4BE-1CD0-4B13-BBEE-5D72F1889E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decree in july 2024
</t>
      </text>
    </comment>
    <comment ref="V64" authorId="2" shapeId="0" xr:uid="{2D2633F6-10EB-44EC-8B37-B376D4DB87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Remains unchanged</t>
      </text>
    </comment>
  </commentList>
</comments>
</file>

<file path=xl/sharedStrings.xml><?xml version="1.0" encoding="utf-8"?>
<sst xmlns="http://schemas.openxmlformats.org/spreadsheetml/2006/main" count="2223" uniqueCount="156">
  <si>
    <t>Cost of the needs for 1 adult equivalent (Birr)</t>
  </si>
  <si>
    <t>Cost of needs for a family of 2 (Birr)</t>
  </si>
  <si>
    <t>Cost of needs for a family of 3 (Birr)</t>
  </si>
  <si>
    <t>Cost of needs for a family of 4 (Birr)</t>
  </si>
  <si>
    <t>Cost of needs for a family of 5 (Birr)</t>
  </si>
  <si>
    <t>Total</t>
  </si>
  <si>
    <t>Food</t>
  </si>
  <si>
    <t>Housing</t>
  </si>
  <si>
    <t>Education and health</t>
  </si>
  <si>
    <t>Other Essentials</t>
  </si>
  <si>
    <t>Country</t>
  </si>
  <si>
    <t>Year</t>
  </si>
  <si>
    <t>Ethiopia</t>
  </si>
  <si>
    <t>Family size of reference</t>
  </si>
  <si>
    <t>Nb of Working adult</t>
  </si>
  <si>
    <t>Costa Rica</t>
  </si>
  <si>
    <t>Currency</t>
  </si>
  <si>
    <t>Birr</t>
  </si>
  <si>
    <t>Colones</t>
  </si>
  <si>
    <t>Viet Nam</t>
  </si>
  <si>
    <t>Region</t>
  </si>
  <si>
    <t>National</t>
  </si>
  <si>
    <t>MW Zone 1</t>
  </si>
  <si>
    <t>Minimum Wage</t>
  </si>
  <si>
    <t>Median Wage</t>
  </si>
  <si>
    <t>MW Zone 2</t>
  </si>
  <si>
    <t>MW Zone 3</t>
  </si>
  <si>
    <t>MW Zone 4</t>
  </si>
  <si>
    <t>Red River Delta</t>
  </si>
  <si>
    <t>North East Region</t>
  </si>
  <si>
    <t>Ha Noi City</t>
  </si>
  <si>
    <t xml:space="preserve"> Ho Chi Minh City</t>
  </si>
  <si>
    <t xml:space="preserve"> Ho Chi Minh City-2</t>
  </si>
  <si>
    <t>Uganda</t>
  </si>
  <si>
    <t>UGX</t>
  </si>
  <si>
    <t>Sumatra</t>
  </si>
  <si>
    <t>Jakarta</t>
  </si>
  <si>
    <t>Java</t>
  </si>
  <si>
    <t>Lesser Sunda Islands</t>
  </si>
  <si>
    <t xml:space="preserve">Kalimantan				</t>
  </si>
  <si>
    <t>Sulawesi</t>
  </si>
  <si>
    <t>Maluku Islands</t>
  </si>
  <si>
    <t>Western New Guinea</t>
  </si>
  <si>
    <t>Indonesia</t>
  </si>
  <si>
    <t>IDR</t>
  </si>
  <si>
    <t>Average by region</t>
  </si>
  <si>
    <t>MW note on calculation</t>
  </si>
  <si>
    <t>No MW</t>
  </si>
  <si>
    <t>Minimum Minimorum</t>
  </si>
  <si>
    <t>Myanmar</t>
  </si>
  <si>
    <t>MKK</t>
  </si>
  <si>
    <t>Côte D'Ivoire</t>
  </si>
  <si>
    <t>Colombia</t>
  </si>
  <si>
    <t>Published</t>
  </si>
  <si>
    <t>Preliminary findings</t>
  </si>
  <si>
    <t>India</t>
  </si>
  <si>
    <t>Working status</t>
  </si>
  <si>
    <t>Dimension</t>
  </si>
  <si>
    <t>FCFA</t>
  </si>
  <si>
    <t>Adjustment</t>
  </si>
  <si>
    <t>Original survey</t>
  </si>
  <si>
    <t>COP</t>
  </si>
  <si>
    <t>Region I</t>
  </si>
  <si>
    <t>Region II</t>
  </si>
  <si>
    <t>Region III</t>
  </si>
  <si>
    <t>Region IV</t>
  </si>
  <si>
    <t>Region V</t>
  </si>
  <si>
    <t>Region VI</t>
  </si>
  <si>
    <t>INR</t>
  </si>
  <si>
    <t>States</t>
  </si>
  <si>
    <t>I</t>
  </si>
  <si>
    <t>Assam</t>
  </si>
  <si>
    <t>Bihar</t>
  </si>
  <si>
    <t>Jharkhand</t>
  </si>
  <si>
    <t>Madhya Pradesh</t>
  </si>
  <si>
    <t>Odisha</t>
  </si>
  <si>
    <t>Uttra Pradesh</t>
  </si>
  <si>
    <t>West Bengal</t>
  </si>
  <si>
    <t>II</t>
  </si>
  <si>
    <t>Andhra Pradesh</t>
  </si>
  <si>
    <t>Telengana</t>
  </si>
  <si>
    <t>Chattisgarh</t>
  </si>
  <si>
    <t>Rajasthan</t>
  </si>
  <si>
    <t>Jammu &amp; Kashmir</t>
  </si>
  <si>
    <t>Uttarakhand</t>
  </si>
  <si>
    <t>III</t>
  </si>
  <si>
    <t>Gujarat</t>
  </si>
  <si>
    <t>Karnataka</t>
  </si>
  <si>
    <t>Kerala</t>
  </si>
  <si>
    <t>Maharashtra</t>
  </si>
  <si>
    <t>Tamil Nadu</t>
  </si>
  <si>
    <t>IV</t>
  </si>
  <si>
    <t>Delhi</t>
  </si>
  <si>
    <t>Goa</t>
  </si>
  <si>
    <t>Haryana</t>
  </si>
  <si>
    <t>Himachal Pradesh</t>
  </si>
  <si>
    <t>Punjab</t>
  </si>
  <si>
    <t>V</t>
  </si>
  <si>
    <t>Arunachal Pradesh</t>
  </si>
  <si>
    <t>Manipur</t>
  </si>
  <si>
    <t>Meghalaya</t>
  </si>
  <si>
    <t>Nagaland</t>
  </si>
  <si>
    <t>Sikkim</t>
  </si>
  <si>
    <t>Tripura</t>
  </si>
  <si>
    <t>Mizoram</t>
  </si>
  <si>
    <t>VI</t>
  </si>
  <si>
    <t>Chandigarh(U.T.)</t>
  </si>
  <si>
    <t>Dadra &amp; Nagar Haveli and Daman &amp; Diu</t>
  </si>
  <si>
    <t>Lakshadweep (U.T.)</t>
  </si>
  <si>
    <t>Puducherry (U.T.)</t>
  </si>
  <si>
    <t>Ladakh (U.T.)</t>
  </si>
  <si>
    <t>A and N Islands (U.T.)</t>
  </si>
  <si>
    <t>Note: Based on the expert committee determining the methodology for fixing the National Minimum Wage</t>
  </si>
  <si>
    <t>Needs of workers and their families and Living Wage Estimates</t>
  </si>
  <si>
    <t>Minimum and average wages</t>
  </si>
  <si>
    <t>Mean Wage</t>
  </si>
  <si>
    <t>Inflation</t>
  </si>
  <si>
    <t>Source</t>
  </si>
  <si>
    <t>ESS 2018</t>
  </si>
  <si>
    <t>Add source of each economic factor</t>
  </si>
  <si>
    <t>Last updated:</t>
  </si>
  <si>
    <t>Labour Productivity - Annual growth rate of output per worker (GDP constant 2021 international $ at PPP) (%)</t>
  </si>
  <si>
    <t>Informality - Proportion of informal employment in total employment (%)</t>
  </si>
  <si>
    <t>Unemployment rate (%)</t>
  </si>
  <si>
    <t>Share of wage earners (%)</t>
  </si>
  <si>
    <t>Labour income share as a percent of GDP (%)</t>
  </si>
  <si>
    <t>Economic factors</t>
  </si>
  <si>
    <t>Living wage for 1 adult</t>
  </si>
  <si>
    <t>Living wage for a family of 2</t>
  </si>
  <si>
    <t>Living wage for a family of 3</t>
  </si>
  <si>
    <t>Living wage for a family of 4</t>
  </si>
  <si>
    <t>Living wage for a family of 5</t>
  </si>
  <si>
    <t>(Net) ILO Living Wage (=Cost of the needs for a reference family size/Number of working adults)</t>
  </si>
  <si>
    <t>Adjusted with CPI (2019)</t>
  </si>
  <si>
    <t>Adjusted with CPI (2022)</t>
  </si>
  <si>
    <t>Adjusted with CPI (2015)</t>
  </si>
  <si>
    <t>Adjusted with CPI (2021)</t>
  </si>
  <si>
    <t>Adjusted with CPI (2016)</t>
  </si>
  <si>
    <t>Adjusted with CPI (2018)</t>
  </si>
  <si>
    <t>Adjusted with CPI (2013)</t>
  </si>
  <si>
    <t>Adjusted with CPI (2020)</t>
  </si>
  <si>
    <t>Adjusted with CPI (2024)</t>
  </si>
  <si>
    <t>ENIGH 2013</t>
  </si>
  <si>
    <t>ENIGH 2018</t>
  </si>
  <si>
    <t>VHLSS 2018</t>
  </si>
  <si>
    <t>VHLSS 2020</t>
  </si>
  <si>
    <t>ESPS 2022</t>
  </si>
  <si>
    <t>N/A</t>
  </si>
  <si>
    <t>ILOSTAT</t>
  </si>
  <si>
    <t>World Development Indicators(ILO modelled estimates)</t>
  </si>
  <si>
    <t>VND</t>
  </si>
  <si>
    <t>daily rate of 3600 (multiplied by 6 days and 4.33 weeks)</t>
  </si>
  <si>
    <t>daily rate of 4800 (multiplied by 6 days and 4.33 weeks)</t>
  </si>
  <si>
    <t>varying by skill level, category, and region</t>
  </si>
  <si>
    <t>Minimum wage by region(by median)</t>
  </si>
  <si>
    <t xml:space="preserve">Central tendency measure: Lowest occupational minimum wage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</si>
</sst>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Calibri Light"/>
      <family val="2"/>
    </font>
    <font>
      <b/>
      <i/>
      <sz val="8"/>
      <color rgb="FF000000"/>
      <name val="Calibri Light"/>
      <family val="2"/>
    </font>
    <font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0000"/>
      <name val="Calibri Light"/>
      <family val="2"/>
    </font>
    <font>
      <sz val="10"/>
      <color rgb="FFFF0000"/>
      <name val="Calibri"/>
      <family val="2"/>
    </font>
    <font>
      <b/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" fontId="7" fillId="0" borderId="3" xfId="0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7" fillId="0" borderId="6" xfId="0" applyNumberFormat="1" applyFont="1" applyBorder="1" applyAlignment="1">
      <alignment horizontal="right" vertical="center"/>
    </xf>
    <xf numFmtId="1" fontId="7" fillId="0" borderId="0" xfId="2" applyNumberFormat="1" applyFont="1" applyAlignment="1">
      <alignment horizontal="right"/>
    </xf>
    <xf numFmtId="1" fontId="2" fillId="3" borderId="3" xfId="0" applyNumberFormat="1" applyFont="1" applyFill="1" applyBorder="1" applyAlignment="1">
      <alignment horizontal="righ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4" borderId="0" xfId="0" applyFill="1"/>
    <xf numFmtId="9" fontId="0" fillId="0" borderId="0" xfId="1" applyFont="1"/>
    <xf numFmtId="0" fontId="10" fillId="0" borderId="0" xfId="0" applyFont="1"/>
    <xf numFmtId="3" fontId="0" fillId="0" borderId="0" xfId="0" applyNumberFormat="1"/>
    <xf numFmtId="0" fontId="11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4" fillId="0" borderId="0" xfId="0" applyFont="1"/>
    <xf numFmtId="0" fontId="0" fillId="6" borderId="0" xfId="0" applyFill="1" applyAlignment="1">
      <alignment horizontal="center"/>
    </xf>
    <xf numFmtId="0" fontId="2" fillId="7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2" fillId="8" borderId="4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" fontId="0" fillId="8" borderId="0" xfId="0" applyNumberFormat="1" applyFill="1" applyAlignment="1">
      <alignment horizontal="right"/>
    </xf>
    <xf numFmtId="1" fontId="0" fillId="8" borderId="0" xfId="0" applyNumberFormat="1" applyFill="1"/>
    <xf numFmtId="1" fontId="2" fillId="0" borderId="0" xfId="0" applyNumberFormat="1" applyFont="1" applyAlignment="1">
      <alignment horizontal="right" vertical="center" wrapText="1"/>
    </xf>
    <xf numFmtId="4" fontId="0" fillId="4" borderId="0" xfId="0" applyNumberFormat="1" applyFill="1"/>
    <xf numFmtId="1" fontId="15" fillId="0" borderId="0" xfId="0" applyNumberFormat="1" applyFont="1" applyAlignment="1">
      <alignment horizontal="left" vertical="center"/>
    </xf>
    <xf numFmtId="0" fontId="16" fillId="0" borderId="0" xfId="0" applyFont="1"/>
    <xf numFmtId="0" fontId="0" fillId="9" borderId="0" xfId="0" applyFill="1"/>
    <xf numFmtId="0" fontId="2" fillId="9" borderId="4" xfId="0" applyFont="1" applyFill="1" applyBorder="1" applyAlignment="1">
      <alignment vertical="center" wrapText="1"/>
    </xf>
    <xf numFmtId="1" fontId="7" fillId="9" borderId="0" xfId="0" applyNumberFormat="1" applyFont="1" applyFill="1" applyAlignment="1">
      <alignment horizontal="right"/>
    </xf>
    <xf numFmtId="1" fontId="2" fillId="9" borderId="3" xfId="0" applyNumberFormat="1" applyFont="1" applyFill="1" applyBorder="1" applyAlignment="1">
      <alignment horizontal="right" vertical="center" wrapText="1"/>
    </xf>
    <xf numFmtId="164" fontId="2" fillId="9" borderId="3" xfId="0" applyNumberFormat="1" applyFont="1" applyFill="1" applyBorder="1" applyAlignment="1">
      <alignment horizontal="right" vertical="center" wrapText="1"/>
    </xf>
    <xf numFmtId="1" fontId="2" fillId="9" borderId="0" xfId="0" applyNumberFormat="1" applyFont="1" applyFill="1" applyAlignment="1">
      <alignment horizontal="right" vertical="center" wrapText="1"/>
    </xf>
    <xf numFmtId="1" fontId="0" fillId="9" borderId="0" xfId="0" applyNumberFormat="1" applyFill="1" applyAlignment="1">
      <alignment horizontal="right"/>
    </xf>
    <xf numFmtId="1" fontId="7" fillId="9" borderId="5" xfId="0" applyNumberFormat="1" applyFont="1" applyFill="1" applyBorder="1" applyAlignment="1">
      <alignment horizontal="right" vertical="center"/>
    </xf>
    <xf numFmtId="1" fontId="7" fillId="9" borderId="3" xfId="0" applyNumberFormat="1" applyFont="1" applyFill="1" applyBorder="1" applyAlignment="1">
      <alignment horizontal="right" vertical="center" wrapText="1"/>
    </xf>
    <xf numFmtId="0" fontId="2" fillId="9" borderId="0" xfId="0" applyFont="1" applyFill="1" applyAlignment="1">
      <alignment vertical="center" wrapText="1"/>
    </xf>
    <xf numFmtId="1" fontId="0" fillId="9" borderId="0" xfId="0" applyNumberFormat="1" applyFill="1"/>
    <xf numFmtId="164" fontId="2" fillId="9" borderId="0" xfId="0" applyNumberFormat="1" applyFont="1" applyFill="1" applyAlignment="1">
      <alignment horizontal="right" vertical="center" wrapText="1"/>
    </xf>
    <xf numFmtId="1" fontId="9" fillId="9" borderId="0" xfId="0" applyNumberFormat="1" applyFont="1" applyFill="1" applyAlignment="1">
      <alignment horizontal="center" vertical="center"/>
    </xf>
    <xf numFmtId="4" fontId="0" fillId="9" borderId="0" xfId="0" applyNumberFormat="1" applyFill="1"/>
    <xf numFmtId="3" fontId="0" fillId="9" borderId="0" xfId="0" applyNumberFormat="1" applyFill="1"/>
    <xf numFmtId="0" fontId="18" fillId="2" borderId="4" xfId="0" applyFont="1" applyFill="1" applyBorder="1" applyAlignment="1">
      <alignment vertical="center" wrapText="1"/>
    </xf>
    <xf numFmtId="1" fontId="19" fillId="0" borderId="0" xfId="0" applyNumberFormat="1" applyFont="1" applyAlignment="1">
      <alignment horizontal="right"/>
    </xf>
    <xf numFmtId="1" fontId="18" fillId="3" borderId="3" xfId="0" applyNumberFormat="1" applyFont="1" applyFill="1" applyBorder="1" applyAlignment="1">
      <alignment horizontal="right" vertical="center" wrapText="1"/>
    </xf>
    <xf numFmtId="164" fontId="18" fillId="3" borderId="3" xfId="0" applyNumberFormat="1" applyFont="1" applyFill="1" applyBorder="1" applyAlignment="1">
      <alignment horizontal="right" vertical="center" wrapText="1"/>
    </xf>
    <xf numFmtId="1" fontId="18" fillId="0" borderId="0" xfId="0" applyNumberFormat="1" applyFont="1" applyAlignment="1">
      <alignment horizontal="right" vertical="center" wrapText="1"/>
    </xf>
    <xf numFmtId="1" fontId="16" fillId="8" borderId="0" xfId="0" applyNumberFormat="1" applyFont="1" applyFill="1" applyAlignment="1">
      <alignment horizontal="right"/>
    </xf>
    <xf numFmtId="0" fontId="16" fillId="4" borderId="0" xfId="0" applyFont="1" applyFill="1"/>
    <xf numFmtId="0" fontId="18" fillId="2" borderId="0" xfId="0" applyFont="1" applyFill="1" applyAlignment="1">
      <alignment vertical="center" wrapText="1"/>
    </xf>
    <xf numFmtId="1" fontId="19" fillId="0" borderId="0" xfId="2" applyNumberFormat="1" applyFont="1" applyAlignment="1">
      <alignment horizontal="right"/>
    </xf>
    <xf numFmtId="1" fontId="16" fillId="0" borderId="0" xfId="0" applyNumberFormat="1" applyFont="1" applyAlignment="1">
      <alignment horizontal="center"/>
    </xf>
    <xf numFmtId="1" fontId="16" fillId="0" borderId="0" xfId="0" applyNumberFormat="1" applyFont="1"/>
    <xf numFmtId="1" fontId="16" fillId="8" borderId="0" xfId="0" applyNumberFormat="1" applyFont="1" applyFill="1"/>
    <xf numFmtId="0" fontId="20" fillId="0" borderId="0" xfId="0" applyFont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10" fontId="0" fillId="0" borderId="0" xfId="1" applyNumberFormat="1" applyFont="1"/>
    <xf numFmtId="0" fontId="10" fillId="10" borderId="0" xfId="0" applyFont="1" applyFill="1"/>
    <xf numFmtId="2" fontId="0" fillId="9" borderId="0" xfId="0" applyNumberFormat="1" applyFill="1"/>
    <xf numFmtId="164" fontId="18" fillId="0" borderId="0" xfId="0" applyNumberFormat="1" applyFont="1" applyAlignment="1">
      <alignment horizontal="right" vertical="center" wrapText="1"/>
    </xf>
    <xf numFmtId="2" fontId="16" fillId="0" borderId="0" xfId="0" applyNumberFormat="1" applyFont="1"/>
    <xf numFmtId="2" fontId="0" fillId="0" borderId="0" xfId="0" applyNumberFormat="1"/>
    <xf numFmtId="1" fontId="19" fillId="0" borderId="3" xfId="0" applyNumberFormat="1" applyFont="1" applyBorder="1" applyAlignment="1">
      <alignment horizontal="right" vertical="center" wrapText="1"/>
    </xf>
    <xf numFmtId="0" fontId="10" fillId="9" borderId="0" xfId="0" applyFont="1" applyFill="1"/>
    <xf numFmtId="0" fontId="0" fillId="0" borderId="0" xfId="0" applyAlignment="1">
      <alignment horizontal="right"/>
    </xf>
    <xf numFmtId="0" fontId="22" fillId="0" borderId="4" xfId="0" applyFont="1" applyBorder="1" applyAlignment="1">
      <alignment horizontal="left" vertical="center" wrapText="1"/>
    </xf>
    <xf numFmtId="2" fontId="10" fillId="9" borderId="0" xfId="0" applyNumberFormat="1" applyFont="1" applyFill="1"/>
    <xf numFmtId="0" fontId="10" fillId="9" borderId="0" xfId="0" applyFont="1" applyFill="1" applyAlignment="1">
      <alignment horizontal="right"/>
    </xf>
    <xf numFmtId="2" fontId="10" fillId="9" borderId="0" xfId="0" applyNumberFormat="1" applyFont="1" applyFill="1" applyAlignment="1">
      <alignment horizontal="right"/>
    </xf>
    <xf numFmtId="2" fontId="10" fillId="0" borderId="0" xfId="0" applyNumberFormat="1" applyFont="1"/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/>
    </xf>
    <xf numFmtId="1" fontId="2" fillId="4" borderId="4" xfId="0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right"/>
    </xf>
    <xf numFmtId="1" fontId="10" fillId="0" borderId="0" xfId="0" applyNumberFormat="1" applyFont="1" applyAlignment="1">
      <alignment horizontal="right"/>
    </xf>
    <xf numFmtId="1" fontId="0" fillId="0" borderId="0" xfId="0" applyNumberFormat="1" applyAlignment="1">
      <alignment horizontal="left"/>
    </xf>
    <xf numFmtId="1" fontId="6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/>
    </xf>
    <xf numFmtId="1" fontId="0" fillId="0" borderId="0" xfId="1" applyNumberFormat="1" applyFont="1" applyAlignment="1">
      <alignment horizontal="right"/>
    </xf>
    <xf numFmtId="0" fontId="2" fillId="4" borderId="4" xfId="0" applyFont="1" applyFill="1" applyBorder="1" applyAlignment="1">
      <alignment horizontal="left" vertical="center"/>
    </xf>
    <xf numFmtId="0" fontId="0" fillId="9" borderId="0" xfId="0" applyFill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left"/>
    </xf>
    <xf numFmtId="1" fontId="23" fillId="4" borderId="4" xfId="0" applyNumberFormat="1" applyFont="1" applyFill="1" applyBorder="1" applyAlignment="1">
      <alignment horizontal="right" vertical="center" wrapText="1"/>
    </xf>
    <xf numFmtId="1" fontId="24" fillId="9" borderId="0" xfId="0" applyNumberFormat="1" applyFont="1" applyFill="1" applyAlignment="1">
      <alignment horizontal="right"/>
    </xf>
    <xf numFmtId="1" fontId="24" fillId="0" borderId="0" xfId="0" applyNumberFormat="1" applyFont="1" applyAlignment="1">
      <alignment horizontal="right"/>
    </xf>
    <xf numFmtId="1" fontId="25" fillId="0" borderId="0" xfId="0" applyNumberFormat="1" applyFont="1" applyAlignment="1">
      <alignment horizontal="right"/>
    </xf>
    <xf numFmtId="1" fontId="26" fillId="0" borderId="0" xfId="0" applyNumberFormat="1" applyFont="1"/>
    <xf numFmtId="1" fontId="26" fillId="0" borderId="0" xfId="0" applyNumberFormat="1" applyFont="1" applyAlignment="1">
      <alignment horizontal="right" vertical="center"/>
    </xf>
    <xf numFmtId="1" fontId="25" fillId="0" borderId="0" xfId="0" applyNumberFormat="1" applyFont="1" applyAlignment="1">
      <alignment horizontal="right" vertical="center"/>
    </xf>
    <xf numFmtId="1" fontId="26" fillId="0" borderId="0" xfId="0" applyNumberFormat="1" applyFont="1" applyAlignment="1">
      <alignment horizontal="right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C0B34CDD-D388-43DF-89BC-0D38316BC999}"/>
    <cellStyle name="Percent" xfId="1" builtinId="5"/>
    <cellStyle name="Percent 2" xfId="3" xr:uid="{B0CB0241-5875-4392-878B-1AE379854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haradwaj, Tridisha" id="{742DFBB9-7DE6-489A-AE7A-E35564AAF3A7}" userId="S::bharadwaj@ilo.org::cc333aa1-4423-4a33-a542-e06b316eee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0" dT="2026-03-30T12:09:17.83" personId="{742DFBB9-7DE6-489A-AE7A-E35564AAF3A7}" id="{572B02C2-43D6-4C87-95F7-D96B32962FC1}">
    <text>Did not change for 2021 due to pandemic</text>
  </threadedComment>
  <threadedComment ref="V63" dT="2026-03-31T09:49:40.70" personId="{742DFBB9-7DE6-489A-AE7A-E35564AAF3A7}" id="{65EBC4BE-1CD0-4B13-BBEE-5D72F1889E21}">
    <text xml:space="preserve">New decree in july 2024
</text>
  </threadedComment>
  <threadedComment ref="V64" dT="2026-03-31T09:53:07.23" personId="{742DFBB9-7DE6-489A-AE7A-E35564AAF3A7}" id="{2D2633F6-10EB-44EC-8B37-B376D4DB8755}">
    <text>Remains unchanged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3918-EE7F-4CFD-931C-A7765A15701D}">
  <dimension ref="A1:B9"/>
  <sheetViews>
    <sheetView workbookViewId="0">
      <selection activeCell="A30" sqref="A30"/>
    </sheetView>
  </sheetViews>
  <sheetFormatPr defaultRowHeight="14.5" x14ac:dyDescent="0.35"/>
  <cols>
    <col min="1" max="1" width="29.1796875" customWidth="1"/>
  </cols>
  <sheetData>
    <row r="1" spans="1:2" x14ac:dyDescent="0.35">
      <c r="A1" t="s">
        <v>120</v>
      </c>
    </row>
    <row r="2" spans="1:2" x14ac:dyDescent="0.35">
      <c r="A2" t="s">
        <v>119</v>
      </c>
    </row>
    <row r="4" spans="1:2" ht="46" x14ac:dyDescent="0.35">
      <c r="A4" s="85" t="s">
        <v>121</v>
      </c>
      <c r="B4" t="s">
        <v>148</v>
      </c>
    </row>
    <row r="5" spans="1:2" x14ac:dyDescent="0.35">
      <c r="A5" s="85" t="s">
        <v>116</v>
      </c>
      <c r="B5" t="s">
        <v>148</v>
      </c>
    </row>
    <row r="6" spans="1:2" ht="23" x14ac:dyDescent="0.35">
      <c r="A6" s="85" t="s">
        <v>122</v>
      </c>
      <c r="B6" t="s">
        <v>148</v>
      </c>
    </row>
    <row r="7" spans="1:2" x14ac:dyDescent="0.35">
      <c r="A7" s="85" t="s">
        <v>123</v>
      </c>
      <c r="B7" t="s">
        <v>148</v>
      </c>
    </row>
    <row r="8" spans="1:2" x14ac:dyDescent="0.35">
      <c r="A8" s="85" t="s">
        <v>124</v>
      </c>
      <c r="B8" t="s">
        <v>149</v>
      </c>
    </row>
    <row r="9" spans="1:2" ht="23" x14ac:dyDescent="0.35">
      <c r="A9" s="85" t="s">
        <v>125</v>
      </c>
      <c r="B9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016C-C92B-40D8-B313-F97903FB9ABF}">
  <sheetPr filterMode="1"/>
  <dimension ref="A2:AF288"/>
  <sheetViews>
    <sheetView tabSelected="1" topLeftCell="L1" zoomScaleNormal="100" workbookViewId="0">
      <selection activeCell="V111" sqref="V111"/>
    </sheetView>
  </sheetViews>
  <sheetFormatPr defaultRowHeight="14.5" x14ac:dyDescent="0.35"/>
  <cols>
    <col min="1" max="1" width="18.26953125" customWidth="1"/>
    <col min="2" max="2" width="14.1796875" customWidth="1"/>
    <col min="3" max="3" width="9.26953125" bestFit="1" customWidth="1"/>
    <col min="4" max="4" width="23.7265625" customWidth="1"/>
    <col min="5" max="5" width="19.54296875" customWidth="1"/>
    <col min="6" max="6" width="26" customWidth="1"/>
    <col min="7" max="9" width="12" customWidth="1"/>
    <col min="10" max="10" width="11.1796875" customWidth="1"/>
    <col min="11" max="11" width="14" customWidth="1"/>
    <col min="12" max="14" width="9.453125" customWidth="1"/>
    <col min="15" max="15" width="12" customWidth="1"/>
    <col min="16" max="16" width="9.453125" customWidth="1"/>
    <col min="17" max="18" width="9.81640625" customWidth="1"/>
    <col min="19" max="19" width="12.81640625" customWidth="1"/>
    <col min="20" max="20" width="9.1796875" customWidth="1"/>
    <col min="21" max="21" width="12" customWidth="1"/>
    <col min="22" max="22" width="11.453125" style="109" customWidth="1"/>
    <col min="23" max="23" width="18.81640625" style="102" customWidth="1"/>
    <col min="24" max="24" width="22.54296875" style="94" customWidth="1"/>
    <col min="25" max="25" width="19.1796875" style="94" customWidth="1"/>
    <col min="26" max="26" width="19.1796875" customWidth="1"/>
    <col min="27" max="27" width="12.7265625" customWidth="1"/>
    <col min="29" max="29" width="10.7265625" style="84" customWidth="1"/>
    <col min="30" max="30" width="9.1796875" customWidth="1"/>
    <col min="31" max="31" width="9.453125" bestFit="1" customWidth="1"/>
    <col min="32" max="32" width="9.26953125" customWidth="1"/>
  </cols>
  <sheetData>
    <row r="2" spans="1:32" ht="15" thickBot="1" x14ac:dyDescent="0.4">
      <c r="F2" s="115" t="s">
        <v>113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36"/>
      <c r="V2" s="116" t="s">
        <v>114</v>
      </c>
      <c r="W2" s="116"/>
      <c r="X2" s="116"/>
      <c r="Y2" s="116"/>
      <c r="Z2" s="38"/>
      <c r="AA2" s="117" t="s">
        <v>126</v>
      </c>
      <c r="AB2" s="117"/>
      <c r="AC2" s="117"/>
      <c r="AD2" s="117"/>
      <c r="AE2" s="117"/>
      <c r="AF2" s="117"/>
    </row>
    <row r="3" spans="1:32" ht="116.25" customHeight="1" thickBot="1" x14ac:dyDescent="0.4">
      <c r="A3" s="1" t="s">
        <v>56</v>
      </c>
      <c r="B3" s="1" t="s">
        <v>10</v>
      </c>
      <c r="C3" s="1" t="s">
        <v>11</v>
      </c>
      <c r="D3" s="1" t="s">
        <v>59</v>
      </c>
      <c r="E3" s="1" t="s">
        <v>20</v>
      </c>
      <c r="F3" s="1" t="s">
        <v>57</v>
      </c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  <c r="L3" s="4" t="s">
        <v>13</v>
      </c>
      <c r="M3" s="4" t="s">
        <v>14</v>
      </c>
      <c r="N3" s="4" t="s">
        <v>127</v>
      </c>
      <c r="O3" s="4" t="s">
        <v>128</v>
      </c>
      <c r="P3" s="4" t="s">
        <v>129</v>
      </c>
      <c r="Q3" s="4" t="s">
        <v>130</v>
      </c>
      <c r="R3" s="4" t="s">
        <v>131</v>
      </c>
      <c r="S3" s="39" t="s">
        <v>132</v>
      </c>
      <c r="T3" s="4" t="s">
        <v>16</v>
      </c>
      <c r="U3" s="4" t="s">
        <v>117</v>
      </c>
      <c r="V3" s="107" t="s">
        <v>23</v>
      </c>
      <c r="W3" s="100" t="s">
        <v>46</v>
      </c>
      <c r="X3" s="93" t="s">
        <v>24</v>
      </c>
      <c r="Y3" s="93" t="s">
        <v>115</v>
      </c>
      <c r="Z3" s="6" t="s">
        <v>117</v>
      </c>
      <c r="AA3" s="37" t="s">
        <v>121</v>
      </c>
      <c r="AB3" s="37" t="s">
        <v>116</v>
      </c>
      <c r="AC3" s="37" t="s">
        <v>122</v>
      </c>
      <c r="AD3" s="37" t="s">
        <v>123</v>
      </c>
      <c r="AE3" s="37" t="s">
        <v>124</v>
      </c>
      <c r="AF3" s="37" t="s">
        <v>125</v>
      </c>
    </row>
    <row r="4" spans="1:32" s="47" customFormat="1" hidden="1" x14ac:dyDescent="0.35">
      <c r="A4" s="47" t="s">
        <v>53</v>
      </c>
      <c r="B4" s="47" t="s">
        <v>12</v>
      </c>
      <c r="C4" s="47">
        <v>2018</v>
      </c>
      <c r="D4" s="47" t="s">
        <v>60</v>
      </c>
      <c r="E4" s="47" t="s">
        <v>21</v>
      </c>
      <c r="F4" s="48" t="s">
        <v>5</v>
      </c>
      <c r="G4" s="55">
        <v>1410.5637502545135</v>
      </c>
      <c r="H4" s="55">
        <v>2423.9728959859613</v>
      </c>
      <c r="I4" s="55">
        <v>3339.3128867751707</v>
      </c>
      <c r="J4" s="55">
        <v>4280.9043668091736</v>
      </c>
      <c r="K4" s="55">
        <v>5278.2685787769497</v>
      </c>
      <c r="L4" s="50">
        <v>5</v>
      </c>
      <c r="M4" s="51">
        <v>1.5</v>
      </c>
      <c r="N4" s="52">
        <v>1410.5637502545135</v>
      </c>
      <c r="O4" s="52">
        <v>1615.9819306573074</v>
      </c>
      <c r="P4" s="52">
        <v>2226.208591183447</v>
      </c>
      <c r="Q4" s="52">
        <v>2853.936244539449</v>
      </c>
      <c r="R4" s="52">
        <v>3518.8457191846333</v>
      </c>
      <c r="S4" s="53">
        <v>3518.8457191846333</v>
      </c>
      <c r="T4" s="47" t="s">
        <v>17</v>
      </c>
      <c r="U4" s="47" t="s">
        <v>118</v>
      </c>
      <c r="V4" s="108"/>
      <c r="W4" s="101" t="s">
        <v>47</v>
      </c>
      <c r="X4" s="53" t="s">
        <v>147</v>
      </c>
      <c r="Y4" s="53" t="s">
        <v>147</v>
      </c>
      <c r="AA4" s="86">
        <v>5.5339999999999998</v>
      </c>
      <c r="AB4" s="86">
        <v>13.83</v>
      </c>
      <c r="AC4" s="87" t="s">
        <v>147</v>
      </c>
      <c r="AD4" s="87" t="s">
        <v>147</v>
      </c>
      <c r="AE4" s="88">
        <v>14.20137411</v>
      </c>
      <c r="AF4" s="88">
        <v>38.481999999999999</v>
      </c>
    </row>
    <row r="5" spans="1:32" hidden="1" x14ac:dyDescent="0.35">
      <c r="A5" t="s">
        <v>53</v>
      </c>
      <c r="B5" t="s">
        <v>12</v>
      </c>
      <c r="C5">
        <v>2018</v>
      </c>
      <c r="D5" t="s">
        <v>60</v>
      </c>
      <c r="E5" t="s">
        <v>21</v>
      </c>
      <c r="F5" s="3" t="s">
        <v>6</v>
      </c>
      <c r="G5" s="12">
        <v>975.72704287500017</v>
      </c>
      <c r="H5" s="11">
        <v>1696.233651008708</v>
      </c>
      <c r="I5" s="11">
        <v>2347.1436982009322</v>
      </c>
      <c r="J5" s="11">
        <v>3027.2107136064596</v>
      </c>
      <c r="K5" s="11">
        <v>3770.3151600531523</v>
      </c>
      <c r="L5" s="18">
        <v>5</v>
      </c>
      <c r="M5" s="19">
        <v>1.5</v>
      </c>
      <c r="N5" s="43">
        <v>1410.5637502545135</v>
      </c>
      <c r="O5" s="43">
        <v>1615.9819306573074</v>
      </c>
      <c r="P5" s="43">
        <v>2226.208591183447</v>
      </c>
      <c r="Q5" s="43">
        <v>2853.936244539449</v>
      </c>
      <c r="R5" s="43">
        <v>3518.8457191846333</v>
      </c>
      <c r="S5" s="41">
        <v>3518.8457191846333</v>
      </c>
      <c r="T5" t="s">
        <v>17</v>
      </c>
      <c r="U5" t="s">
        <v>118</v>
      </c>
      <c r="W5" s="102" t="s">
        <v>47</v>
      </c>
      <c r="X5" s="94" t="s">
        <v>147</v>
      </c>
      <c r="Y5" s="94" t="s">
        <v>147</v>
      </c>
      <c r="AA5" s="89">
        <v>5.5339999999999998</v>
      </c>
      <c r="AB5" s="89">
        <v>13.83</v>
      </c>
      <c r="AC5" s="90" t="s">
        <v>147</v>
      </c>
      <c r="AD5" s="90" t="s">
        <v>147</v>
      </c>
      <c r="AE5" s="91">
        <v>14.20137411</v>
      </c>
      <c r="AF5" s="91">
        <v>38.481999999999999</v>
      </c>
    </row>
    <row r="6" spans="1:32" hidden="1" x14ac:dyDescent="0.35">
      <c r="A6" t="s">
        <v>53</v>
      </c>
      <c r="B6" t="s">
        <v>12</v>
      </c>
      <c r="C6">
        <v>2018</v>
      </c>
      <c r="D6" t="s">
        <v>60</v>
      </c>
      <c r="E6" t="s">
        <v>21</v>
      </c>
      <c r="F6" s="3" t="s">
        <v>7</v>
      </c>
      <c r="G6" s="11">
        <v>284.8356253795132</v>
      </c>
      <c r="H6" s="11">
        <v>466.75361657358712</v>
      </c>
      <c r="I6" s="11">
        <v>628.02589561684044</v>
      </c>
      <c r="J6" s="11">
        <v>787.19138795697393</v>
      </c>
      <c r="K6" s="11">
        <v>941.08918720846395</v>
      </c>
      <c r="L6" s="18">
        <v>5</v>
      </c>
      <c r="M6" s="19">
        <v>1.5</v>
      </c>
      <c r="N6" s="43">
        <v>1410.5637502545135</v>
      </c>
      <c r="O6" s="43">
        <v>1615.9819306573074</v>
      </c>
      <c r="P6" s="43">
        <v>2226.208591183447</v>
      </c>
      <c r="Q6" s="43">
        <v>2853.936244539449</v>
      </c>
      <c r="R6" s="43">
        <v>3518.8457191846333</v>
      </c>
      <c r="S6" s="41">
        <v>3518.8457191846333</v>
      </c>
      <c r="T6" t="s">
        <v>17</v>
      </c>
      <c r="U6" t="s">
        <v>118</v>
      </c>
      <c r="W6" s="102" t="s">
        <v>47</v>
      </c>
      <c r="X6" s="94" t="s">
        <v>147</v>
      </c>
      <c r="Y6" s="94" t="s">
        <v>147</v>
      </c>
      <c r="AA6" s="89">
        <v>5.5339999999999998</v>
      </c>
      <c r="AB6" s="89">
        <v>13.83</v>
      </c>
      <c r="AC6" s="90" t="s">
        <v>147</v>
      </c>
      <c r="AD6" s="90" t="s">
        <v>147</v>
      </c>
      <c r="AE6" s="91">
        <v>14.20137411</v>
      </c>
      <c r="AF6" s="91">
        <v>38.481999999999999</v>
      </c>
    </row>
    <row r="7" spans="1:32" hidden="1" x14ac:dyDescent="0.35">
      <c r="A7" t="s">
        <v>53</v>
      </c>
      <c r="B7" t="s">
        <v>12</v>
      </c>
      <c r="C7">
        <v>2018</v>
      </c>
      <c r="D7" t="s">
        <v>60</v>
      </c>
      <c r="E7" t="s">
        <v>21</v>
      </c>
      <c r="F7" s="3" t="s">
        <v>8</v>
      </c>
      <c r="G7" s="12">
        <v>42.018622000000001</v>
      </c>
      <c r="H7" s="11">
        <v>84.037244000000001</v>
      </c>
      <c r="I7" s="11">
        <v>126.05586600000001</v>
      </c>
      <c r="J7" s="11">
        <v>168.074488</v>
      </c>
      <c r="K7" s="11">
        <v>210.09311</v>
      </c>
      <c r="L7" s="18">
        <v>5</v>
      </c>
      <c r="M7" s="19">
        <v>1.5</v>
      </c>
      <c r="N7" s="43">
        <v>1410.5637502545135</v>
      </c>
      <c r="O7" s="43">
        <v>1615.9819306573074</v>
      </c>
      <c r="P7" s="43">
        <v>2226.208591183447</v>
      </c>
      <c r="Q7" s="43">
        <v>2853.936244539449</v>
      </c>
      <c r="R7" s="43">
        <v>3518.8457191846333</v>
      </c>
      <c r="S7" s="41">
        <v>3518.8457191846333</v>
      </c>
      <c r="T7" t="s">
        <v>17</v>
      </c>
      <c r="U7" t="s">
        <v>118</v>
      </c>
      <c r="W7" s="102" t="s">
        <v>47</v>
      </c>
      <c r="X7" s="94" t="s">
        <v>147</v>
      </c>
      <c r="Y7" s="94" t="s">
        <v>147</v>
      </c>
      <c r="AA7" s="89">
        <v>5.5339999999999998</v>
      </c>
      <c r="AB7" s="89">
        <v>13.83</v>
      </c>
      <c r="AC7" s="90" t="s">
        <v>147</v>
      </c>
      <c r="AD7" s="90" t="s">
        <v>147</v>
      </c>
      <c r="AE7" s="91">
        <v>14.20137411</v>
      </c>
      <c r="AF7" s="91">
        <v>38.481999999999999</v>
      </c>
    </row>
    <row r="8" spans="1:32" hidden="1" x14ac:dyDescent="0.35">
      <c r="A8" t="s">
        <v>53</v>
      </c>
      <c r="B8" t="s">
        <v>12</v>
      </c>
      <c r="C8">
        <v>2018</v>
      </c>
      <c r="D8" t="s">
        <v>60</v>
      </c>
      <c r="E8" t="s">
        <v>21</v>
      </c>
      <c r="F8" s="3" t="s">
        <v>9</v>
      </c>
      <c r="G8" s="11">
        <v>107.98246</v>
      </c>
      <c r="H8" s="11">
        <v>176.94838440366601</v>
      </c>
      <c r="I8" s="11">
        <v>238.08742695739804</v>
      </c>
      <c r="J8" s="11">
        <v>298.42777724574</v>
      </c>
      <c r="K8" s="11">
        <v>356.77112151533402</v>
      </c>
      <c r="L8" s="18">
        <v>5</v>
      </c>
      <c r="M8" s="19">
        <v>1.5</v>
      </c>
      <c r="N8" s="43">
        <v>1410.5637502545135</v>
      </c>
      <c r="O8" s="43">
        <v>1615.9819306573074</v>
      </c>
      <c r="P8" s="43">
        <v>2226.208591183447</v>
      </c>
      <c r="Q8" s="43">
        <v>2853.936244539449</v>
      </c>
      <c r="R8" s="43">
        <v>3518.8457191846333</v>
      </c>
      <c r="S8" s="41">
        <v>3518.8457191846333</v>
      </c>
      <c r="T8" t="s">
        <v>17</v>
      </c>
      <c r="U8" t="s">
        <v>118</v>
      </c>
      <c r="W8" s="102" t="s">
        <v>47</v>
      </c>
      <c r="X8" s="94" t="s">
        <v>147</v>
      </c>
      <c r="Y8" s="94" t="s">
        <v>147</v>
      </c>
      <c r="AA8" s="89">
        <v>5.5339999999999998</v>
      </c>
      <c r="AB8" s="89">
        <v>13.83</v>
      </c>
      <c r="AC8" s="90" t="s">
        <v>147</v>
      </c>
      <c r="AD8" s="90" t="s">
        <v>147</v>
      </c>
      <c r="AE8" s="91">
        <v>14.20137411</v>
      </c>
      <c r="AF8" s="91">
        <v>38.481999999999999</v>
      </c>
    </row>
    <row r="9" spans="1:32" s="46" customFormat="1" hidden="1" x14ac:dyDescent="0.35">
      <c r="A9" s="46" t="s">
        <v>53</v>
      </c>
      <c r="B9" s="46" t="s">
        <v>12</v>
      </c>
      <c r="C9" s="46">
        <v>2019</v>
      </c>
      <c r="D9" s="46" t="s">
        <v>138</v>
      </c>
      <c r="E9" s="46" t="s">
        <v>21</v>
      </c>
      <c r="F9" s="62" t="s">
        <v>5</v>
      </c>
      <c r="G9" s="82">
        <v>1633.5686907203956</v>
      </c>
      <c r="H9" s="82">
        <v>2807.1940947887279</v>
      </c>
      <c r="I9" s="82">
        <v>3867.2459712443297</v>
      </c>
      <c r="J9" s="82">
        <v>4957.699600833982</v>
      </c>
      <c r="K9" s="82">
        <v>6112.7434261283752</v>
      </c>
      <c r="L9" s="18">
        <v>5</v>
      </c>
      <c r="M9" s="19">
        <v>1.5</v>
      </c>
      <c r="N9" s="66">
        <v>1633.5686907203956</v>
      </c>
      <c r="O9" s="66">
        <v>1871.462729859152</v>
      </c>
      <c r="P9" s="66">
        <v>2578.1639808295531</v>
      </c>
      <c r="Q9" s="66">
        <v>3305.1330672226545</v>
      </c>
      <c r="R9" s="66">
        <v>4075.1622840855835</v>
      </c>
      <c r="S9" s="67">
        <v>4075.1622840855835</v>
      </c>
      <c r="T9" s="46" t="s">
        <v>17</v>
      </c>
      <c r="U9" s="46" t="s">
        <v>118</v>
      </c>
      <c r="V9" s="110"/>
      <c r="W9" s="103" t="s">
        <v>47</v>
      </c>
      <c r="X9" s="94" t="s">
        <v>147</v>
      </c>
      <c r="Y9" s="94" t="s">
        <v>147</v>
      </c>
      <c r="AA9" s="89">
        <v>7.173</v>
      </c>
      <c r="AB9" s="89">
        <v>15.81</v>
      </c>
      <c r="AC9" s="90" t="s">
        <v>147</v>
      </c>
      <c r="AD9" s="90" t="s">
        <v>147</v>
      </c>
      <c r="AE9" s="91">
        <v>14.617919860000001</v>
      </c>
      <c r="AF9" s="91">
        <v>38.139000000000003</v>
      </c>
    </row>
    <row r="10" spans="1:32" s="46" customFormat="1" hidden="1" x14ac:dyDescent="0.35">
      <c r="A10" s="46" t="s">
        <v>53</v>
      </c>
      <c r="B10" s="46" t="s">
        <v>12</v>
      </c>
      <c r="C10" s="46">
        <v>2020</v>
      </c>
      <c r="D10" s="46" t="s">
        <v>138</v>
      </c>
      <c r="E10" s="46" t="s">
        <v>21</v>
      </c>
      <c r="F10" s="62" t="s">
        <v>5</v>
      </c>
      <c r="G10" s="82">
        <v>1966.1035995329235</v>
      </c>
      <c r="H10" s="82">
        <v>3378.6362616424349</v>
      </c>
      <c r="I10" s="82">
        <v>4654.4759749218802</v>
      </c>
      <c r="J10" s="82">
        <v>5966.9061276536195</v>
      </c>
      <c r="K10" s="82">
        <v>7357.0746803626662</v>
      </c>
      <c r="L10" s="18">
        <v>5</v>
      </c>
      <c r="M10" s="19">
        <v>1.5</v>
      </c>
      <c r="N10" s="66">
        <v>1966.1035995329235</v>
      </c>
      <c r="O10" s="66">
        <v>2252.4241744282899</v>
      </c>
      <c r="P10" s="66">
        <v>3102.9839832812536</v>
      </c>
      <c r="Q10" s="66">
        <v>3977.9374184357462</v>
      </c>
      <c r="R10" s="66">
        <v>4904.7164535751108</v>
      </c>
      <c r="S10" s="67">
        <v>4904.7164535751108</v>
      </c>
      <c r="T10" s="46" t="s">
        <v>17</v>
      </c>
      <c r="U10" s="46" t="s">
        <v>118</v>
      </c>
      <c r="V10" s="110"/>
      <c r="W10" s="103" t="s">
        <v>47</v>
      </c>
      <c r="X10" s="94" t="s">
        <v>147</v>
      </c>
      <c r="Y10" s="94" t="s">
        <v>147</v>
      </c>
      <c r="AA10" s="89">
        <v>6.9119999999999999</v>
      </c>
      <c r="AB10" s="89">
        <v>20.36</v>
      </c>
      <c r="AC10" s="90" t="s">
        <v>147</v>
      </c>
      <c r="AD10" s="90" t="s">
        <v>147</v>
      </c>
      <c r="AE10" s="91">
        <v>14.0922167</v>
      </c>
      <c r="AF10" s="91">
        <v>38.137</v>
      </c>
    </row>
    <row r="11" spans="1:32" s="46" customFormat="1" hidden="1" x14ac:dyDescent="0.35">
      <c r="A11" s="46" t="s">
        <v>53</v>
      </c>
      <c r="B11" s="46" t="s">
        <v>12</v>
      </c>
      <c r="C11" s="46">
        <v>2021</v>
      </c>
      <c r="D11" s="46" t="s">
        <v>138</v>
      </c>
      <c r="E11" s="46" t="s">
        <v>21</v>
      </c>
      <c r="F11" s="62" t="s">
        <v>5</v>
      </c>
      <c r="G11" s="82">
        <v>2493.7964107349972</v>
      </c>
      <c r="H11" s="82">
        <v>4285.446089648909</v>
      </c>
      <c r="I11" s="82">
        <v>5903.7150854461315</v>
      </c>
      <c r="J11" s="82">
        <v>7568.3952197993412</v>
      </c>
      <c r="K11" s="82">
        <v>9331.6783692153094</v>
      </c>
      <c r="L11" s="18">
        <v>5</v>
      </c>
      <c r="M11" s="19">
        <v>1.5</v>
      </c>
      <c r="N11" s="66">
        <v>2493.7964107349972</v>
      </c>
      <c r="O11" s="66">
        <v>2856.9640597659395</v>
      </c>
      <c r="P11" s="66">
        <v>3935.8100569640878</v>
      </c>
      <c r="Q11" s="66">
        <v>5045.5968131995605</v>
      </c>
      <c r="R11" s="66">
        <v>6221.118912810206</v>
      </c>
      <c r="S11" s="67">
        <v>6221.118912810206</v>
      </c>
      <c r="T11" s="46" t="s">
        <v>17</v>
      </c>
      <c r="U11" s="46" t="s">
        <v>118</v>
      </c>
      <c r="V11" s="110"/>
      <c r="W11" s="103" t="s">
        <v>47</v>
      </c>
      <c r="X11" s="92">
        <v>3200</v>
      </c>
      <c r="Y11" s="92">
        <v>4195.9650000000001</v>
      </c>
      <c r="AA11" s="89">
        <v>4.4429999999999996</v>
      </c>
      <c r="AB11" s="89">
        <v>26.84</v>
      </c>
      <c r="AC11" s="90">
        <v>77.653999999999996</v>
      </c>
      <c r="AD11" s="90">
        <v>3.9350000000000001</v>
      </c>
      <c r="AE11" s="91">
        <v>14.5194005</v>
      </c>
      <c r="AF11" s="91">
        <v>37.104999999999997</v>
      </c>
    </row>
    <row r="12" spans="1:32" ht="16.5" hidden="1" customHeight="1" x14ac:dyDescent="0.35">
      <c r="A12" t="s">
        <v>53</v>
      </c>
      <c r="B12" t="s">
        <v>12</v>
      </c>
      <c r="C12">
        <v>2022</v>
      </c>
      <c r="D12" t="s">
        <v>60</v>
      </c>
      <c r="E12" t="s">
        <v>21</v>
      </c>
      <c r="F12" s="2" t="s">
        <v>5</v>
      </c>
      <c r="G12" s="11">
        <v>3482.343992725052</v>
      </c>
      <c r="H12" s="11">
        <v>5928.5321379002116</v>
      </c>
      <c r="I12" s="11">
        <v>8358.6212173089789</v>
      </c>
      <c r="J12" s="11">
        <v>10780.051467139121</v>
      </c>
      <c r="K12" s="11">
        <v>13357.794871469085</v>
      </c>
      <c r="L12" s="18">
        <v>5</v>
      </c>
      <c r="M12" s="19">
        <v>1.5</v>
      </c>
      <c r="N12" s="43">
        <v>3482.343992725052</v>
      </c>
      <c r="O12" s="43">
        <v>3952.3547586001409</v>
      </c>
      <c r="P12" s="43">
        <v>5572.4141448726523</v>
      </c>
      <c r="Q12" s="43">
        <v>7186.7009780927474</v>
      </c>
      <c r="R12" s="43">
        <v>8905.1965809793892</v>
      </c>
      <c r="S12" s="41">
        <v>8905.1965809793892</v>
      </c>
      <c r="T12" t="s">
        <v>17</v>
      </c>
      <c r="U12" t="s">
        <v>146</v>
      </c>
      <c r="W12" s="102" t="s">
        <v>47</v>
      </c>
      <c r="X12" s="94" t="s">
        <v>147</v>
      </c>
      <c r="Y12" s="94" t="s">
        <v>147</v>
      </c>
      <c r="AA12" s="89">
        <v>2.0790000000000002</v>
      </c>
      <c r="AB12" s="89">
        <v>33.89</v>
      </c>
      <c r="AC12" s="90" t="s">
        <v>147</v>
      </c>
      <c r="AD12" s="90" t="s">
        <v>147</v>
      </c>
      <c r="AE12" s="91">
        <v>14.79360366</v>
      </c>
      <c r="AF12" s="91">
        <v>38.840000000000003</v>
      </c>
    </row>
    <row r="13" spans="1:32" ht="16.5" hidden="1" customHeight="1" x14ac:dyDescent="0.35">
      <c r="A13" t="s">
        <v>53</v>
      </c>
      <c r="B13" t="s">
        <v>12</v>
      </c>
      <c r="C13">
        <v>2022</v>
      </c>
      <c r="D13" t="s">
        <v>60</v>
      </c>
      <c r="E13" t="s">
        <v>21</v>
      </c>
      <c r="F13" s="3" t="s">
        <v>6</v>
      </c>
      <c r="G13" s="11">
        <v>2704.6861441249998</v>
      </c>
      <c r="H13" s="11">
        <v>4606.0805034448749</v>
      </c>
      <c r="I13" s="11">
        <v>6533.1234014694874</v>
      </c>
      <c r="J13" s="11">
        <v>8457.0721385452216</v>
      </c>
      <c r="K13" s="11">
        <v>10539.677764835325</v>
      </c>
      <c r="L13" s="18">
        <v>5</v>
      </c>
      <c r="M13" s="19">
        <v>1.5</v>
      </c>
      <c r="N13" s="43">
        <v>3482.343992725052</v>
      </c>
      <c r="O13" s="43">
        <v>3952.3547586001409</v>
      </c>
      <c r="P13" s="43">
        <v>5572.4141448726523</v>
      </c>
      <c r="Q13" s="43">
        <v>7186.7009780927474</v>
      </c>
      <c r="R13" s="43">
        <v>8905.1965809793892</v>
      </c>
      <c r="S13" s="41">
        <v>8905.1965809793892</v>
      </c>
      <c r="T13" t="s">
        <v>17</v>
      </c>
      <c r="U13" t="s">
        <v>146</v>
      </c>
      <c r="W13" s="102" t="s">
        <v>47</v>
      </c>
      <c r="X13" s="94" t="s">
        <v>147</v>
      </c>
      <c r="Y13" s="94" t="s">
        <v>147</v>
      </c>
      <c r="AA13" s="89">
        <v>2.0790000000000002</v>
      </c>
      <c r="AB13" s="89">
        <v>33.89</v>
      </c>
      <c r="AC13" s="90" t="s">
        <v>147</v>
      </c>
      <c r="AD13" s="90" t="s">
        <v>147</v>
      </c>
      <c r="AE13" s="91">
        <v>14.79360366</v>
      </c>
      <c r="AF13" s="91">
        <v>38.840000000000003</v>
      </c>
    </row>
    <row r="14" spans="1:32" ht="16.5" hidden="1" customHeight="1" x14ac:dyDescent="0.35">
      <c r="A14" t="s">
        <v>53</v>
      </c>
      <c r="B14" t="s">
        <v>12</v>
      </c>
      <c r="C14">
        <v>2022</v>
      </c>
      <c r="D14" t="s">
        <v>60</v>
      </c>
      <c r="E14" t="s">
        <v>21</v>
      </c>
      <c r="F14" s="3" t="s">
        <v>7</v>
      </c>
      <c r="G14" s="11">
        <v>448.67824060005205</v>
      </c>
      <c r="H14" s="11">
        <v>743.82686347509707</v>
      </c>
      <c r="I14" s="11">
        <v>1011.4508710022914</v>
      </c>
      <c r="J14" s="11">
        <v>1275.406036556099</v>
      </c>
      <c r="K14" s="11">
        <v>1537.8159542492801</v>
      </c>
      <c r="L14" s="18">
        <v>5</v>
      </c>
      <c r="M14" s="19">
        <v>1.5</v>
      </c>
      <c r="N14" s="43">
        <v>3482.343992725052</v>
      </c>
      <c r="O14" s="43">
        <v>3952.3547586001409</v>
      </c>
      <c r="P14" s="43">
        <v>5572.4141448726523</v>
      </c>
      <c r="Q14" s="43">
        <v>7186.7009780927474</v>
      </c>
      <c r="R14" s="43">
        <v>8905.1965809793892</v>
      </c>
      <c r="S14" s="41">
        <v>8905.1965809793892</v>
      </c>
      <c r="T14" t="s">
        <v>17</v>
      </c>
      <c r="U14" t="s">
        <v>146</v>
      </c>
      <c r="W14" s="102" t="s">
        <v>47</v>
      </c>
      <c r="X14" s="94" t="s">
        <v>147</v>
      </c>
      <c r="Y14" s="94" t="s">
        <v>147</v>
      </c>
      <c r="AA14" s="89">
        <v>2.0790000000000002</v>
      </c>
      <c r="AB14" s="89">
        <v>33.89</v>
      </c>
      <c r="AC14" s="90" t="s">
        <v>147</v>
      </c>
      <c r="AD14" s="90" t="s">
        <v>147</v>
      </c>
      <c r="AE14" s="91">
        <v>14.79360366</v>
      </c>
      <c r="AF14" s="91">
        <v>38.840000000000003</v>
      </c>
    </row>
    <row r="15" spans="1:32" ht="16.5" hidden="1" customHeight="1" x14ac:dyDescent="0.35">
      <c r="A15" t="s">
        <v>53</v>
      </c>
      <c r="B15" t="s">
        <v>12</v>
      </c>
      <c r="C15">
        <v>2022</v>
      </c>
      <c r="D15" t="s">
        <v>60</v>
      </c>
      <c r="E15" t="s">
        <v>21</v>
      </c>
      <c r="F15" s="3" t="s">
        <v>8</v>
      </c>
      <c r="G15" s="12">
        <v>97.130927999999997</v>
      </c>
      <c r="H15" s="12">
        <v>194.26185599999999</v>
      </c>
      <c r="I15" s="12">
        <v>291.39278400000001</v>
      </c>
      <c r="J15" s="12">
        <v>388.52371199999999</v>
      </c>
      <c r="K15" s="12">
        <v>485.65463999999997</v>
      </c>
      <c r="L15" s="18">
        <v>5</v>
      </c>
      <c r="M15" s="19">
        <v>1.5</v>
      </c>
      <c r="N15" s="43">
        <v>3482.343992725052</v>
      </c>
      <c r="O15" s="43">
        <v>3952.3547586001409</v>
      </c>
      <c r="P15" s="43">
        <v>5572.4141448726523</v>
      </c>
      <c r="Q15" s="43">
        <v>7186.7009780927474</v>
      </c>
      <c r="R15" s="43">
        <v>8905.1965809793892</v>
      </c>
      <c r="S15" s="41">
        <v>8905.1965809793892</v>
      </c>
      <c r="T15" t="s">
        <v>17</v>
      </c>
      <c r="U15" t="s">
        <v>146</v>
      </c>
      <c r="W15" s="102" t="s">
        <v>47</v>
      </c>
      <c r="X15" s="94" t="s">
        <v>147</v>
      </c>
      <c r="Y15" s="94" t="s">
        <v>147</v>
      </c>
      <c r="AA15" s="89">
        <v>2.0790000000000002</v>
      </c>
      <c r="AB15" s="89">
        <v>33.89</v>
      </c>
      <c r="AC15" s="90" t="s">
        <v>147</v>
      </c>
      <c r="AD15" s="90" t="s">
        <v>147</v>
      </c>
      <c r="AE15" s="91">
        <v>14.79360366</v>
      </c>
      <c r="AF15" s="91">
        <v>38.840000000000003</v>
      </c>
    </row>
    <row r="16" spans="1:32" ht="16.5" hidden="1" customHeight="1" x14ac:dyDescent="0.35">
      <c r="A16" t="s">
        <v>53</v>
      </c>
      <c r="B16" t="s">
        <v>12</v>
      </c>
      <c r="C16">
        <v>2022</v>
      </c>
      <c r="D16" t="s">
        <v>60</v>
      </c>
      <c r="E16" t="s">
        <v>21</v>
      </c>
      <c r="F16" s="3" t="s">
        <v>9</v>
      </c>
      <c r="G16" s="12">
        <v>231.84868</v>
      </c>
      <c r="H16" s="12">
        <v>384.36291498024002</v>
      </c>
      <c r="I16" s="12">
        <v>522.65416083720004</v>
      </c>
      <c r="J16" s="12">
        <v>659.04958003780007</v>
      </c>
      <c r="K16" s="12">
        <v>794.64651238448005</v>
      </c>
      <c r="L16" s="18">
        <v>5</v>
      </c>
      <c r="M16" s="19">
        <v>1.5</v>
      </c>
      <c r="N16" s="43">
        <v>3482.343992725052</v>
      </c>
      <c r="O16" s="43">
        <v>3952.3547586001409</v>
      </c>
      <c r="P16" s="43">
        <v>5572.4141448726523</v>
      </c>
      <c r="Q16" s="43">
        <v>7186.7009780927474</v>
      </c>
      <c r="R16" s="43">
        <v>8905.1965809793892</v>
      </c>
      <c r="S16" s="41">
        <v>8905.1965809793892</v>
      </c>
      <c r="T16" t="s">
        <v>17</v>
      </c>
      <c r="U16" t="s">
        <v>146</v>
      </c>
      <c r="W16" s="102" t="s">
        <v>47</v>
      </c>
      <c r="X16" s="94" t="s">
        <v>147</v>
      </c>
      <c r="Y16" s="94" t="s">
        <v>147</v>
      </c>
      <c r="AA16" s="89">
        <v>2.0790000000000002</v>
      </c>
      <c r="AB16" s="89">
        <v>33.89</v>
      </c>
      <c r="AC16" s="90" t="s">
        <v>147</v>
      </c>
      <c r="AD16" s="90" t="s">
        <v>147</v>
      </c>
      <c r="AE16" s="91">
        <v>14.79360366</v>
      </c>
      <c r="AF16" s="91">
        <v>38.840000000000003</v>
      </c>
    </row>
    <row r="17" spans="1:32" ht="16.5" hidden="1" customHeight="1" x14ac:dyDescent="0.35">
      <c r="A17" s="46" t="s">
        <v>53</v>
      </c>
      <c r="B17" s="46" t="s">
        <v>12</v>
      </c>
      <c r="C17" s="46">
        <v>2023</v>
      </c>
      <c r="D17" s="46" t="s">
        <v>134</v>
      </c>
      <c r="E17" s="46" t="s">
        <v>21</v>
      </c>
      <c r="F17" s="62" t="s">
        <v>5</v>
      </c>
      <c r="G17" s="82">
        <v>4540.9565609340789</v>
      </c>
      <c r="H17" s="82">
        <v>7728.3207392344266</v>
      </c>
      <c r="I17" s="82">
        <v>10894.770696598693</v>
      </c>
      <c r="J17" s="82">
        <v>14049.920206148336</v>
      </c>
      <c r="K17" s="82">
        <v>17409.385881721322</v>
      </c>
      <c r="L17" s="64">
        <v>5</v>
      </c>
      <c r="M17" s="65">
        <v>1.5</v>
      </c>
      <c r="N17" s="66">
        <v>4540.9565609340789</v>
      </c>
      <c r="O17" s="66">
        <v>5152.2138261562841</v>
      </c>
      <c r="P17" s="66">
        <v>7263.1804643991281</v>
      </c>
      <c r="Q17" s="66">
        <v>9366.6134707655565</v>
      </c>
      <c r="R17" s="66">
        <v>11606.257254480881</v>
      </c>
      <c r="S17" s="67">
        <v>11606.257254480881</v>
      </c>
      <c r="T17" s="46" t="s">
        <v>17</v>
      </c>
      <c r="U17" s="46" t="s">
        <v>146</v>
      </c>
      <c r="V17" s="110"/>
      <c r="W17" s="103" t="s">
        <v>47</v>
      </c>
      <c r="X17" s="94" t="s">
        <v>147</v>
      </c>
      <c r="Y17" s="94" t="s">
        <v>147</v>
      </c>
      <c r="AA17" s="89">
        <v>3.8370000000000002</v>
      </c>
      <c r="AB17" s="89">
        <v>30.22</v>
      </c>
      <c r="AC17" s="90" t="s">
        <v>147</v>
      </c>
      <c r="AD17" s="90" t="s">
        <v>147</v>
      </c>
      <c r="AE17" s="91">
        <v>15.063989230000001</v>
      </c>
      <c r="AF17" s="91">
        <v>38.587000000000003</v>
      </c>
    </row>
    <row r="18" spans="1:32" ht="16.5" hidden="1" customHeight="1" x14ac:dyDescent="0.35">
      <c r="A18" s="46" t="s">
        <v>53</v>
      </c>
      <c r="B18" s="46" t="s">
        <v>12</v>
      </c>
      <c r="C18" s="46">
        <v>2024</v>
      </c>
      <c r="D18" s="46" t="s">
        <v>134</v>
      </c>
      <c r="E18" s="46" t="s">
        <v>21</v>
      </c>
      <c r="F18" s="62" t="s">
        <v>5</v>
      </c>
      <c r="G18" s="82">
        <v>5510.6520734014748</v>
      </c>
      <c r="H18" s="82">
        <v>9378.6597898688997</v>
      </c>
      <c r="I18" s="82">
        <v>13221.287172166974</v>
      </c>
      <c r="J18" s="82">
        <v>17050.200960127739</v>
      </c>
      <c r="K18" s="82">
        <v>21127.061472268215</v>
      </c>
      <c r="L18" s="64">
        <v>5</v>
      </c>
      <c r="M18" s="65">
        <v>1.5</v>
      </c>
      <c r="N18" s="66">
        <v>5510.6520734014748</v>
      </c>
      <c r="O18" s="66">
        <v>6252.4398599125998</v>
      </c>
      <c r="P18" s="66">
        <v>8814.1914481113163</v>
      </c>
      <c r="Q18" s="66">
        <v>11366.800640085159</v>
      </c>
      <c r="R18" s="66">
        <v>14084.70764817881</v>
      </c>
      <c r="S18" s="67">
        <v>14084.70764817881</v>
      </c>
      <c r="T18" s="46" t="s">
        <v>17</v>
      </c>
      <c r="U18" s="46" t="s">
        <v>146</v>
      </c>
      <c r="V18" s="110"/>
      <c r="W18" s="103" t="s">
        <v>47</v>
      </c>
      <c r="X18" s="94" t="s">
        <v>147</v>
      </c>
      <c r="Y18" s="94" t="s">
        <v>147</v>
      </c>
      <c r="AA18" s="89">
        <v>4.7370000000000001</v>
      </c>
      <c r="AB18" s="89">
        <v>21.04</v>
      </c>
      <c r="AC18" s="90" t="s">
        <v>147</v>
      </c>
      <c r="AD18" s="90" t="s">
        <v>147</v>
      </c>
      <c r="AE18" s="91">
        <v>15.37085358</v>
      </c>
      <c r="AF18" s="91">
        <v>38.31</v>
      </c>
    </row>
    <row r="19" spans="1:32" ht="16.5" hidden="1" customHeight="1" x14ac:dyDescent="0.35">
      <c r="A19" s="46" t="s">
        <v>53</v>
      </c>
      <c r="B19" s="46" t="s">
        <v>12</v>
      </c>
      <c r="C19" s="46">
        <v>2025</v>
      </c>
      <c r="D19" s="46" t="s">
        <v>134</v>
      </c>
      <c r="E19" s="46" t="s">
        <v>21</v>
      </c>
      <c r="F19" s="62" t="s">
        <v>5</v>
      </c>
      <c r="G19" s="82">
        <v>6320.6750244027971</v>
      </c>
      <c r="H19" s="82">
        <v>10757.249760390809</v>
      </c>
      <c r="I19" s="82">
        <v>15164.713450687972</v>
      </c>
      <c r="J19" s="82">
        <v>19556.447755048932</v>
      </c>
      <c r="K19" s="82">
        <v>24232.575021627483</v>
      </c>
      <c r="L19" s="64">
        <v>5</v>
      </c>
      <c r="M19" s="65">
        <v>1.5</v>
      </c>
      <c r="N19" s="66">
        <v>6320.6750244027971</v>
      </c>
      <c r="O19" s="66">
        <v>7171.4998402605388</v>
      </c>
      <c r="P19" s="66">
        <v>10109.808967125315</v>
      </c>
      <c r="Q19" s="66">
        <v>13037.631836699287</v>
      </c>
      <c r="R19" s="66">
        <v>16155.050014418322</v>
      </c>
      <c r="S19" s="67">
        <v>16155.050014418322</v>
      </c>
      <c r="T19" s="46" t="s">
        <v>17</v>
      </c>
      <c r="U19" s="46" t="s">
        <v>146</v>
      </c>
      <c r="V19" s="110"/>
      <c r="W19" s="103" t="s">
        <v>47</v>
      </c>
      <c r="X19" s="94" t="s">
        <v>147</v>
      </c>
      <c r="Y19" s="94" t="s">
        <v>147</v>
      </c>
      <c r="AA19" s="89">
        <v>4.0170000000000003</v>
      </c>
      <c r="AB19" s="89">
        <v>13.23</v>
      </c>
      <c r="AC19" s="90" t="s">
        <v>147</v>
      </c>
      <c r="AD19" s="90" t="s">
        <v>147</v>
      </c>
      <c r="AE19" s="91">
        <v>15.68830335</v>
      </c>
      <c r="AF19" s="91">
        <v>38.524999999999999</v>
      </c>
    </row>
    <row r="20" spans="1:32" s="47" customFormat="1" hidden="1" x14ac:dyDescent="0.35">
      <c r="A20" s="47" t="s">
        <v>53</v>
      </c>
      <c r="B20" s="47" t="s">
        <v>15</v>
      </c>
      <c r="C20" s="47">
        <v>2013</v>
      </c>
      <c r="D20" s="47" t="s">
        <v>60</v>
      </c>
      <c r="E20" s="47" t="s">
        <v>21</v>
      </c>
      <c r="F20" s="48" t="s">
        <v>5</v>
      </c>
      <c r="G20" s="54">
        <v>177775.18982027459</v>
      </c>
      <c r="H20" s="49">
        <v>300838.86553444405</v>
      </c>
      <c r="I20" s="54">
        <v>416630.0753106632</v>
      </c>
      <c r="J20" s="54">
        <v>528469.1908363027</v>
      </c>
      <c r="K20" s="49">
        <v>651231.1850181215</v>
      </c>
      <c r="L20" s="50">
        <v>3</v>
      </c>
      <c r="M20" s="51">
        <v>1.5</v>
      </c>
      <c r="N20" s="52">
        <v>177775.18982027459</v>
      </c>
      <c r="O20" s="52">
        <v>200559.24368962937</v>
      </c>
      <c r="P20" s="52">
        <v>277753.38354044216</v>
      </c>
      <c r="Q20" s="52">
        <v>352312.79389086849</v>
      </c>
      <c r="R20" s="52">
        <v>434154.12334541435</v>
      </c>
      <c r="S20" s="53">
        <v>277753.38354044216</v>
      </c>
      <c r="T20" s="47" t="s">
        <v>18</v>
      </c>
      <c r="U20" s="47" t="s">
        <v>142</v>
      </c>
      <c r="V20" s="108">
        <v>251191</v>
      </c>
      <c r="W20" s="101" t="s">
        <v>48</v>
      </c>
      <c r="X20" s="53">
        <v>325000</v>
      </c>
      <c r="Y20" s="53">
        <v>473389.80300000001</v>
      </c>
      <c r="AA20" s="86">
        <v>0.82399999999999995</v>
      </c>
      <c r="AB20" s="86">
        <v>5.23</v>
      </c>
      <c r="AC20" s="87">
        <v>40.871000000000002</v>
      </c>
      <c r="AD20" s="87">
        <v>8.218</v>
      </c>
      <c r="AE20" s="88">
        <v>69.835890000000006</v>
      </c>
      <c r="AF20" s="88">
        <v>58.52</v>
      </c>
    </row>
    <row r="21" spans="1:32" hidden="1" x14ac:dyDescent="0.35">
      <c r="A21" t="s">
        <v>53</v>
      </c>
      <c r="B21" t="s">
        <v>15</v>
      </c>
      <c r="C21">
        <v>2013</v>
      </c>
      <c r="D21" t="s">
        <v>60</v>
      </c>
      <c r="E21" t="s">
        <v>21</v>
      </c>
      <c r="F21" s="3" t="s">
        <v>6</v>
      </c>
      <c r="G21" s="13">
        <v>57059.573399999994</v>
      </c>
      <c r="H21" s="15">
        <v>98324.54334671938</v>
      </c>
      <c r="I21" s="13">
        <v>141953.94789598801</v>
      </c>
      <c r="J21" s="13">
        <v>185306.61351426659</v>
      </c>
      <c r="K21" s="15">
        <v>233199.73762627679</v>
      </c>
      <c r="L21" s="18">
        <v>3</v>
      </c>
      <c r="M21" s="19">
        <v>1.5</v>
      </c>
      <c r="N21" s="43">
        <v>177775.18982027459</v>
      </c>
      <c r="O21" s="43">
        <v>200559.24368962937</v>
      </c>
      <c r="P21" s="43">
        <v>277753.38354044216</v>
      </c>
      <c r="Q21" s="43">
        <v>352312.79389086849</v>
      </c>
      <c r="R21" s="43">
        <v>434154.12334541435</v>
      </c>
      <c r="S21" s="41">
        <v>277753.38354044216</v>
      </c>
      <c r="T21" t="s">
        <v>18</v>
      </c>
      <c r="U21" s="25" t="s">
        <v>142</v>
      </c>
      <c r="V21" s="109">
        <v>251191</v>
      </c>
      <c r="W21" s="102" t="s">
        <v>48</v>
      </c>
      <c r="X21" s="94">
        <v>325000</v>
      </c>
      <c r="Y21" s="94">
        <v>473389.80300000001</v>
      </c>
      <c r="AA21" s="89">
        <v>0.82399999999999995</v>
      </c>
      <c r="AB21" s="89">
        <v>5.23</v>
      </c>
      <c r="AC21" s="90">
        <v>40.871000000000002</v>
      </c>
      <c r="AD21" s="90">
        <v>8.218</v>
      </c>
      <c r="AE21" s="91">
        <v>69.835890000000006</v>
      </c>
      <c r="AF21" s="91">
        <v>58.52</v>
      </c>
    </row>
    <row r="22" spans="1:32" hidden="1" x14ac:dyDescent="0.35">
      <c r="A22" t="s">
        <v>53</v>
      </c>
      <c r="B22" t="s">
        <v>15</v>
      </c>
      <c r="C22">
        <v>2013</v>
      </c>
      <c r="D22" t="s">
        <v>60</v>
      </c>
      <c r="E22" t="s">
        <v>21</v>
      </c>
      <c r="F22" s="3" t="s">
        <v>7</v>
      </c>
      <c r="G22" s="13">
        <v>59901.861320274591</v>
      </c>
      <c r="H22" s="15">
        <v>99686.34143660948</v>
      </c>
      <c r="I22" s="13">
        <v>134489.20305996638</v>
      </c>
      <c r="J22" s="13">
        <v>167392.15734782809</v>
      </c>
      <c r="K22" s="15">
        <v>203594.38635348796</v>
      </c>
      <c r="L22" s="18">
        <v>3</v>
      </c>
      <c r="M22" s="19">
        <v>1.5</v>
      </c>
      <c r="N22" s="43">
        <v>177775.18982027459</v>
      </c>
      <c r="O22" s="43">
        <v>200559.24368962937</v>
      </c>
      <c r="P22" s="43">
        <v>277753.38354044216</v>
      </c>
      <c r="Q22" s="43">
        <v>352312.79389086849</v>
      </c>
      <c r="R22" s="43">
        <v>434154.12334541435</v>
      </c>
      <c r="S22" s="41">
        <v>277753.38354044216</v>
      </c>
      <c r="T22" t="s">
        <v>18</v>
      </c>
      <c r="U22" s="25" t="s">
        <v>142</v>
      </c>
      <c r="V22" s="109">
        <v>251191</v>
      </c>
      <c r="W22" s="102" t="s">
        <v>48</v>
      </c>
      <c r="X22" s="94">
        <v>325000</v>
      </c>
      <c r="Y22" s="94">
        <v>473389.80300000001</v>
      </c>
      <c r="AA22" s="89">
        <v>0.82399999999999995</v>
      </c>
      <c r="AB22" s="89">
        <v>5.23</v>
      </c>
      <c r="AC22" s="90">
        <v>40.871000000000002</v>
      </c>
      <c r="AD22" s="90">
        <v>8.218</v>
      </c>
      <c r="AE22" s="91">
        <v>69.835890000000006</v>
      </c>
      <c r="AF22" s="91">
        <v>58.52</v>
      </c>
    </row>
    <row r="23" spans="1:32" hidden="1" x14ac:dyDescent="0.35">
      <c r="A23" t="s">
        <v>53</v>
      </c>
      <c r="B23" t="s">
        <v>15</v>
      </c>
      <c r="C23">
        <v>2013</v>
      </c>
      <c r="D23" t="s">
        <v>60</v>
      </c>
      <c r="E23" t="s">
        <v>21</v>
      </c>
      <c r="F23" s="3" t="s">
        <v>8</v>
      </c>
      <c r="G23" s="15">
        <v>4835.9519</v>
      </c>
      <c r="H23" s="15">
        <v>9671.9038</v>
      </c>
      <c r="I23" s="15">
        <v>14507.8557</v>
      </c>
      <c r="J23" s="14">
        <v>19343.8076</v>
      </c>
      <c r="K23" s="15">
        <v>24179.7595</v>
      </c>
      <c r="L23" s="18">
        <v>3</v>
      </c>
      <c r="M23" s="19">
        <v>1.5</v>
      </c>
      <c r="N23" s="43">
        <v>177775.18982027459</v>
      </c>
      <c r="O23" s="43">
        <v>200559.24368962937</v>
      </c>
      <c r="P23" s="43">
        <v>277753.38354044216</v>
      </c>
      <c r="Q23" s="43">
        <v>352312.79389086849</v>
      </c>
      <c r="R23" s="43">
        <v>434154.12334541435</v>
      </c>
      <c r="S23" s="41">
        <v>277753.38354044216</v>
      </c>
      <c r="T23" t="s">
        <v>18</v>
      </c>
      <c r="U23" s="25" t="s">
        <v>142</v>
      </c>
      <c r="V23" s="109">
        <v>251191</v>
      </c>
      <c r="W23" s="102" t="s">
        <v>48</v>
      </c>
      <c r="X23" s="94">
        <v>325000</v>
      </c>
      <c r="Y23" s="94">
        <v>473389.80300000001</v>
      </c>
      <c r="AA23" s="89">
        <v>0.82399999999999995</v>
      </c>
      <c r="AB23" s="89">
        <v>5.23</v>
      </c>
      <c r="AC23" s="90">
        <v>40.871000000000002</v>
      </c>
      <c r="AD23" s="90">
        <v>8.218</v>
      </c>
      <c r="AE23" s="91">
        <v>69.835890000000006</v>
      </c>
      <c r="AF23" s="91">
        <v>58.52</v>
      </c>
    </row>
    <row r="24" spans="1:32" hidden="1" x14ac:dyDescent="0.35">
      <c r="A24" t="s">
        <v>53</v>
      </c>
      <c r="B24" t="s">
        <v>15</v>
      </c>
      <c r="C24">
        <v>2013</v>
      </c>
      <c r="D24" t="s">
        <v>60</v>
      </c>
      <c r="E24" t="s">
        <v>21</v>
      </c>
      <c r="F24" s="3" t="s">
        <v>9</v>
      </c>
      <c r="G24" s="15">
        <v>55977.803200000002</v>
      </c>
      <c r="H24" s="15">
        <v>93156.076951115203</v>
      </c>
      <c r="I24" s="15">
        <v>125679.06865470881</v>
      </c>
      <c r="J24" s="15">
        <v>156426.61237420799</v>
      </c>
      <c r="K24" s="15">
        <v>190257.30153835678</v>
      </c>
      <c r="L24" s="18">
        <v>3</v>
      </c>
      <c r="M24" s="19">
        <v>1.5</v>
      </c>
      <c r="N24" s="43">
        <v>177775.18982027459</v>
      </c>
      <c r="O24" s="43">
        <v>200559.24368962937</v>
      </c>
      <c r="P24" s="43">
        <v>277753.38354044216</v>
      </c>
      <c r="Q24" s="43">
        <v>352312.79389086849</v>
      </c>
      <c r="R24" s="43">
        <v>434154.12334541435</v>
      </c>
      <c r="S24" s="41">
        <v>277753.38354044216</v>
      </c>
      <c r="T24" t="s">
        <v>18</v>
      </c>
      <c r="U24" s="25" t="s">
        <v>142</v>
      </c>
      <c r="V24" s="109">
        <v>251191</v>
      </c>
      <c r="W24" s="102" t="s">
        <v>48</v>
      </c>
      <c r="X24" s="94">
        <v>325000</v>
      </c>
      <c r="Y24" s="94">
        <v>473389.80300000001</v>
      </c>
      <c r="AA24" s="89">
        <v>0.82399999999999995</v>
      </c>
      <c r="AB24" s="89">
        <v>5.23</v>
      </c>
      <c r="AC24" s="90">
        <v>40.871000000000002</v>
      </c>
      <c r="AD24" s="90">
        <v>8.218</v>
      </c>
      <c r="AE24" s="91">
        <v>69.835890000000006</v>
      </c>
      <c r="AF24" s="91">
        <v>58.52</v>
      </c>
    </row>
    <row r="25" spans="1:32" s="46" customFormat="1" hidden="1" x14ac:dyDescent="0.35">
      <c r="A25" s="46" t="s">
        <v>53</v>
      </c>
      <c r="B25" s="46" t="s">
        <v>15</v>
      </c>
      <c r="C25" s="46">
        <v>2014</v>
      </c>
      <c r="D25" s="46" t="s">
        <v>139</v>
      </c>
      <c r="E25" s="46" t="s">
        <v>21</v>
      </c>
      <c r="F25" s="62" t="s">
        <v>5</v>
      </c>
      <c r="G25" s="63">
        <v>185809.20795001945</v>
      </c>
      <c r="H25" s="63">
        <v>314434.37850944948</v>
      </c>
      <c r="I25" s="63">
        <v>435458.42577861529</v>
      </c>
      <c r="J25" s="63">
        <v>552351.77571489441</v>
      </c>
      <c r="K25" s="63">
        <v>680661.63114719174</v>
      </c>
      <c r="L25" s="64">
        <v>3</v>
      </c>
      <c r="M25" s="65">
        <v>1.5</v>
      </c>
      <c r="N25" s="66">
        <v>185809.20795001945</v>
      </c>
      <c r="O25" s="66">
        <v>209622.91900629966</v>
      </c>
      <c r="P25" s="66">
        <v>290305.61718574353</v>
      </c>
      <c r="Q25" s="66">
        <v>368234.51714326296</v>
      </c>
      <c r="R25" s="66">
        <v>453774.42076479451</v>
      </c>
      <c r="S25" s="67">
        <v>290305.61718574353</v>
      </c>
      <c r="T25" s="46" t="s">
        <v>18</v>
      </c>
      <c r="U25" s="46" t="s">
        <v>142</v>
      </c>
      <c r="V25" s="110">
        <v>266942.69</v>
      </c>
      <c r="W25" s="103" t="s">
        <v>48</v>
      </c>
      <c r="X25" s="92">
        <v>345669.00900000002</v>
      </c>
      <c r="Y25" s="92">
        <v>473389.80300000001</v>
      </c>
      <c r="AA25" s="89">
        <v>1.2969999999999999</v>
      </c>
      <c r="AB25" s="89">
        <v>4.5199999999999996</v>
      </c>
      <c r="AC25" s="90">
        <v>41.22</v>
      </c>
      <c r="AD25" s="90">
        <v>8.4990000000000006</v>
      </c>
      <c r="AE25" s="91">
        <v>70.314988339999999</v>
      </c>
      <c r="AF25" s="91">
        <v>57.281999999999996</v>
      </c>
    </row>
    <row r="26" spans="1:32" s="46" customFormat="1" hidden="1" x14ac:dyDescent="0.35">
      <c r="A26" s="46" t="s">
        <v>53</v>
      </c>
      <c r="B26" s="46" t="s">
        <v>15</v>
      </c>
      <c r="C26" s="46">
        <v>2015</v>
      </c>
      <c r="D26" s="46" t="s">
        <v>139</v>
      </c>
      <c r="E26" s="46" t="s">
        <v>21</v>
      </c>
      <c r="F26" s="62" t="s">
        <v>5</v>
      </c>
      <c r="G26" s="63">
        <v>187299.36436159673</v>
      </c>
      <c r="H26" s="63">
        <v>316956.08564294211</v>
      </c>
      <c r="I26" s="63">
        <v>438950.72399304988</v>
      </c>
      <c r="J26" s="63">
        <v>556781.53756097611</v>
      </c>
      <c r="K26" s="63">
        <v>686120.41494460974</v>
      </c>
      <c r="L26" s="64">
        <v>3</v>
      </c>
      <c r="M26" s="65">
        <v>1.5</v>
      </c>
      <c r="N26" s="66">
        <v>187299.36436159673</v>
      </c>
      <c r="O26" s="66">
        <v>211304.05709529473</v>
      </c>
      <c r="P26" s="66">
        <v>292633.8159953666</v>
      </c>
      <c r="Q26" s="66">
        <v>371187.69170731743</v>
      </c>
      <c r="R26" s="66">
        <v>457413.60996307316</v>
      </c>
      <c r="S26" s="67">
        <v>292633.8159953666</v>
      </c>
      <c r="T26" s="46" t="s">
        <v>18</v>
      </c>
      <c r="U26" s="46" t="s">
        <v>142</v>
      </c>
      <c r="V26" s="110">
        <v>283799.64</v>
      </c>
      <c r="W26" s="103" t="s">
        <v>48</v>
      </c>
      <c r="X26" s="92">
        <v>346400</v>
      </c>
      <c r="Y26" s="92">
        <v>498637.39500000002</v>
      </c>
      <c r="AA26" s="89">
        <v>4.1280000000000001</v>
      </c>
      <c r="AB26" s="89">
        <v>0.8</v>
      </c>
      <c r="AC26" s="90">
        <v>42.052</v>
      </c>
      <c r="AD26" s="90">
        <v>8.4149999999999991</v>
      </c>
      <c r="AE26" s="91">
        <v>70.570703859999995</v>
      </c>
      <c r="AF26" s="91">
        <v>56.956000000000003</v>
      </c>
    </row>
    <row r="27" spans="1:32" s="46" customFormat="1" hidden="1" x14ac:dyDescent="0.35">
      <c r="A27" s="46" t="s">
        <v>53</v>
      </c>
      <c r="B27" s="46" t="s">
        <v>15</v>
      </c>
      <c r="C27" s="46">
        <v>2016</v>
      </c>
      <c r="D27" s="46" t="s">
        <v>139</v>
      </c>
      <c r="E27" s="46" t="s">
        <v>21</v>
      </c>
      <c r="F27" s="62" t="s">
        <v>5</v>
      </c>
      <c r="G27" s="63">
        <v>187266.6265855424</v>
      </c>
      <c r="H27" s="63">
        <v>316900.68536229408</v>
      </c>
      <c r="I27" s="63">
        <v>438874.0004518358</v>
      </c>
      <c r="J27" s="63">
        <v>556684.21854790859</v>
      </c>
      <c r="K27" s="63">
        <v>686000.48898240842</v>
      </c>
      <c r="L27" s="64">
        <v>3</v>
      </c>
      <c r="M27" s="65">
        <v>1.5</v>
      </c>
      <c r="N27" s="66">
        <v>187266.6265855424</v>
      </c>
      <c r="O27" s="66">
        <v>211267.12357486272</v>
      </c>
      <c r="P27" s="66">
        <v>292582.66696789052</v>
      </c>
      <c r="Q27" s="66">
        <v>371122.81236527237</v>
      </c>
      <c r="R27" s="66">
        <v>457333.65932160564</v>
      </c>
      <c r="S27" s="67">
        <v>292582.66696789052</v>
      </c>
      <c r="T27" s="46" t="s">
        <v>18</v>
      </c>
      <c r="U27" s="46" t="s">
        <v>142</v>
      </c>
      <c r="V27" s="110">
        <v>288386.69</v>
      </c>
      <c r="W27" s="103" t="s">
        <v>48</v>
      </c>
      <c r="X27" s="92">
        <v>346633.61900000001</v>
      </c>
      <c r="Y27" s="92">
        <v>503547.60100000002</v>
      </c>
      <c r="AA27" s="89">
        <v>7.593</v>
      </c>
      <c r="AB27" s="89">
        <v>-0.02</v>
      </c>
      <c r="AC27" s="90">
        <v>40.161000000000001</v>
      </c>
      <c r="AD27" s="90">
        <v>8.0850000000000009</v>
      </c>
      <c r="AE27" s="91">
        <v>71.689670309999997</v>
      </c>
      <c r="AF27" s="91">
        <v>55.652999999999999</v>
      </c>
    </row>
    <row r="28" spans="1:32" s="46" customFormat="1" hidden="1" x14ac:dyDescent="0.35">
      <c r="A28" s="46" t="s">
        <v>53</v>
      </c>
      <c r="B28" s="46" t="s">
        <v>15</v>
      </c>
      <c r="C28" s="46">
        <v>2017</v>
      </c>
      <c r="D28" s="46" t="s">
        <v>139</v>
      </c>
      <c r="E28" s="46" t="s">
        <v>21</v>
      </c>
      <c r="F28" s="62" t="s">
        <v>5</v>
      </c>
      <c r="G28" s="63">
        <v>190311.40764461915</v>
      </c>
      <c r="H28" s="63">
        <v>322053.19556655514</v>
      </c>
      <c r="I28" s="63">
        <v>446009.68323878763</v>
      </c>
      <c r="J28" s="63">
        <v>565735.38583503512</v>
      </c>
      <c r="K28" s="63">
        <v>697154.21847204014</v>
      </c>
      <c r="L28" s="64">
        <v>3</v>
      </c>
      <c r="M28" s="65">
        <v>1.5</v>
      </c>
      <c r="N28" s="66">
        <v>190311.40764461915</v>
      </c>
      <c r="O28" s="66">
        <v>214702.13037770343</v>
      </c>
      <c r="P28" s="66">
        <v>297339.78882585844</v>
      </c>
      <c r="Q28" s="66">
        <v>377156.92389002343</v>
      </c>
      <c r="R28" s="66">
        <v>464769.47898136009</v>
      </c>
      <c r="S28" s="67">
        <v>297339.78882585844</v>
      </c>
      <c r="T28" s="46" t="s">
        <v>18</v>
      </c>
      <c r="U28" s="46" t="s">
        <v>142</v>
      </c>
      <c r="V28" s="110">
        <v>293132.67</v>
      </c>
      <c r="W28" s="103" t="s">
        <v>48</v>
      </c>
      <c r="X28" s="92">
        <v>375691.26500000001</v>
      </c>
      <c r="Y28" s="92">
        <v>604647.99399999995</v>
      </c>
      <c r="AA28" s="89">
        <v>2.0289999999999999</v>
      </c>
      <c r="AB28" s="89">
        <v>1.63</v>
      </c>
      <c r="AC28" s="90">
        <v>40.729999999999997</v>
      </c>
      <c r="AD28" s="90">
        <v>7.7290000000000001</v>
      </c>
      <c r="AE28" s="91">
        <v>71.764301869999997</v>
      </c>
      <c r="AF28" s="91">
        <v>53.938000000000002</v>
      </c>
    </row>
    <row r="29" spans="1:32" hidden="1" x14ac:dyDescent="0.35">
      <c r="A29" t="s">
        <v>53</v>
      </c>
      <c r="B29" t="s">
        <v>15</v>
      </c>
      <c r="C29">
        <v>2018</v>
      </c>
      <c r="D29" t="s">
        <v>60</v>
      </c>
      <c r="E29" t="s">
        <v>21</v>
      </c>
      <c r="F29" s="2" t="s">
        <v>5</v>
      </c>
      <c r="G29" s="16">
        <v>199422.17250791588</v>
      </c>
      <c r="H29" s="15">
        <v>285998.29659279063</v>
      </c>
      <c r="I29" s="16">
        <v>472132.88072685205</v>
      </c>
      <c r="J29" s="16">
        <v>601976.18230326823</v>
      </c>
      <c r="K29" s="15">
        <v>732581.31701140665</v>
      </c>
      <c r="L29" s="18">
        <v>3</v>
      </c>
      <c r="M29" s="19">
        <v>1.5</v>
      </c>
      <c r="N29" s="43">
        <v>199422.17250791588</v>
      </c>
      <c r="O29" s="43">
        <v>190665.53106186041</v>
      </c>
      <c r="P29" s="43">
        <v>314755.25381790136</v>
      </c>
      <c r="Q29" s="43">
        <v>401317.45486884547</v>
      </c>
      <c r="R29" s="43">
        <v>488387.54467427108</v>
      </c>
      <c r="S29" s="41">
        <v>314755.25381790136</v>
      </c>
      <c r="T29" t="s">
        <v>18</v>
      </c>
      <c r="U29" s="25" t="s">
        <v>143</v>
      </c>
      <c r="V29" s="109">
        <v>300255.78999999998</v>
      </c>
      <c r="W29" s="102" t="s">
        <v>48</v>
      </c>
      <c r="X29" s="94">
        <v>373750</v>
      </c>
      <c r="Y29" s="94">
        <v>590811.68799999997</v>
      </c>
      <c r="AA29" s="89">
        <v>-1.1850000000000001</v>
      </c>
      <c r="AB29" s="89">
        <v>2.2200000000000002</v>
      </c>
      <c r="AC29" s="90">
        <v>40.918999999999997</v>
      </c>
      <c r="AD29" s="90">
        <v>9.01</v>
      </c>
      <c r="AE29" s="91">
        <v>71.599476879999997</v>
      </c>
      <c r="AF29" s="91">
        <v>54.698</v>
      </c>
    </row>
    <row r="30" spans="1:32" hidden="1" x14ac:dyDescent="0.35">
      <c r="A30" t="s">
        <v>53</v>
      </c>
      <c r="B30" t="s">
        <v>15</v>
      </c>
      <c r="C30">
        <v>2018</v>
      </c>
      <c r="D30" t="s">
        <v>60</v>
      </c>
      <c r="E30" t="s">
        <v>21</v>
      </c>
      <c r="F30" s="3" t="s">
        <v>6</v>
      </c>
      <c r="G30" s="16">
        <v>60857.328899999993</v>
      </c>
      <c r="H30" s="15">
        <v>52458.384595579439</v>
      </c>
      <c r="I30" s="16">
        <v>153977.62300037488</v>
      </c>
      <c r="J30" s="16">
        <v>202658.55667673398</v>
      </c>
      <c r="K30" s="15">
        <v>249678.63299008316</v>
      </c>
      <c r="L30" s="18">
        <v>3</v>
      </c>
      <c r="M30" s="19">
        <v>1.5</v>
      </c>
      <c r="N30" s="43">
        <v>199422.17250791588</v>
      </c>
      <c r="O30" s="43">
        <v>190665.53106186041</v>
      </c>
      <c r="P30" s="43">
        <v>314755.25381790136</v>
      </c>
      <c r="Q30" s="43">
        <v>401317.45486884547</v>
      </c>
      <c r="R30" s="43">
        <v>488387.54467427108</v>
      </c>
      <c r="S30" s="41">
        <v>314755.25381790136</v>
      </c>
      <c r="T30" t="s">
        <v>18</v>
      </c>
      <c r="U30" s="25" t="s">
        <v>143</v>
      </c>
      <c r="V30" s="109">
        <v>300255.78999999998</v>
      </c>
      <c r="W30" s="102" t="s">
        <v>48</v>
      </c>
      <c r="X30" s="94">
        <v>373750</v>
      </c>
      <c r="Y30" s="94">
        <v>590811.68799999997</v>
      </c>
      <c r="AA30" s="89">
        <v>-1.1850000000000001</v>
      </c>
      <c r="AB30" s="89">
        <v>2.2200000000000002</v>
      </c>
      <c r="AC30" s="90">
        <v>40.918999999999997</v>
      </c>
      <c r="AD30" s="90">
        <v>9.01</v>
      </c>
      <c r="AE30" s="91">
        <v>71.599476879999997</v>
      </c>
      <c r="AF30" s="91">
        <v>54.698</v>
      </c>
    </row>
    <row r="31" spans="1:32" hidden="1" x14ac:dyDescent="0.35">
      <c r="A31" t="s">
        <v>53</v>
      </c>
      <c r="B31" t="s">
        <v>15</v>
      </c>
      <c r="C31">
        <v>2018</v>
      </c>
      <c r="D31" t="s">
        <v>60</v>
      </c>
      <c r="E31" t="s">
        <v>21</v>
      </c>
      <c r="F31" s="3" t="s">
        <v>7</v>
      </c>
      <c r="G31" s="16">
        <v>71405.941907915912</v>
      </c>
      <c r="H31" s="15">
        <v>119497.27253536202</v>
      </c>
      <c r="I31" s="16">
        <v>161875.34234481386</v>
      </c>
      <c r="J31" s="16">
        <v>202477.40356713205</v>
      </c>
      <c r="K31" s="15">
        <v>244379.55277376759</v>
      </c>
      <c r="L31" s="18">
        <v>3</v>
      </c>
      <c r="M31" s="19">
        <v>1.5</v>
      </c>
      <c r="N31" s="43">
        <v>199422.17250791588</v>
      </c>
      <c r="O31" s="43">
        <v>190665.53106186041</v>
      </c>
      <c r="P31" s="43">
        <v>314755.25381790136</v>
      </c>
      <c r="Q31" s="43">
        <v>401317.45486884547</v>
      </c>
      <c r="R31" s="43">
        <v>488387.54467427108</v>
      </c>
      <c r="S31" s="41">
        <v>314755.25381790136</v>
      </c>
      <c r="T31" t="s">
        <v>18</v>
      </c>
      <c r="U31" s="25" t="s">
        <v>143</v>
      </c>
      <c r="V31" s="109">
        <v>300255.78999999998</v>
      </c>
      <c r="W31" s="102" t="s">
        <v>48</v>
      </c>
      <c r="X31" s="94">
        <v>373750</v>
      </c>
      <c r="Y31" s="94">
        <v>590811.68799999997</v>
      </c>
      <c r="AA31" s="89">
        <v>-1.1850000000000001</v>
      </c>
      <c r="AB31" s="89">
        <v>2.2200000000000002</v>
      </c>
      <c r="AC31" s="90">
        <v>40.918999999999997</v>
      </c>
      <c r="AD31" s="90">
        <v>9.01</v>
      </c>
      <c r="AE31" s="91">
        <v>71.599476879999997</v>
      </c>
      <c r="AF31" s="91">
        <v>54.698</v>
      </c>
    </row>
    <row r="32" spans="1:32" hidden="1" x14ac:dyDescent="0.35">
      <c r="A32" t="s">
        <v>53</v>
      </c>
      <c r="B32" t="s">
        <v>15</v>
      </c>
      <c r="C32">
        <v>2018</v>
      </c>
      <c r="D32" t="s">
        <v>60</v>
      </c>
      <c r="E32" t="s">
        <v>21</v>
      </c>
      <c r="F32" s="3" t="s">
        <v>8</v>
      </c>
      <c r="G32" s="15">
        <v>5501.1596</v>
      </c>
      <c r="H32" s="15">
        <v>11002.3192</v>
      </c>
      <c r="I32" s="15">
        <v>16503.478799999997</v>
      </c>
      <c r="J32" s="14">
        <v>22004.6384</v>
      </c>
      <c r="K32" s="15">
        <v>27505.797999999999</v>
      </c>
      <c r="L32" s="18">
        <v>3</v>
      </c>
      <c r="M32" s="19">
        <v>1.5</v>
      </c>
      <c r="N32" s="43">
        <v>199422.17250791588</v>
      </c>
      <c r="O32" s="43">
        <v>190665.53106186041</v>
      </c>
      <c r="P32" s="43">
        <v>314755.25381790136</v>
      </c>
      <c r="Q32" s="43">
        <v>401317.45486884547</v>
      </c>
      <c r="R32" s="43">
        <v>488387.54467427108</v>
      </c>
      <c r="S32" s="41">
        <v>314755.25381790136</v>
      </c>
      <c r="T32" t="s">
        <v>18</v>
      </c>
      <c r="U32" s="25" t="s">
        <v>143</v>
      </c>
      <c r="V32" s="109">
        <v>300255.78999999998</v>
      </c>
      <c r="W32" s="102" t="s">
        <v>48</v>
      </c>
      <c r="X32" s="94">
        <v>373750</v>
      </c>
      <c r="Y32" s="94">
        <v>590811.68799999997</v>
      </c>
      <c r="AA32" s="89">
        <v>-1.1850000000000001</v>
      </c>
      <c r="AB32" s="89">
        <v>2.2200000000000002</v>
      </c>
      <c r="AC32" s="90">
        <v>40.918999999999997</v>
      </c>
      <c r="AD32" s="90">
        <v>9.01</v>
      </c>
      <c r="AE32" s="91">
        <v>71.599476879999997</v>
      </c>
      <c r="AF32" s="91">
        <v>54.698</v>
      </c>
    </row>
    <row r="33" spans="1:32" hidden="1" x14ac:dyDescent="0.35">
      <c r="A33" t="s">
        <v>53</v>
      </c>
      <c r="B33" t="s">
        <v>15</v>
      </c>
      <c r="C33">
        <v>2018</v>
      </c>
      <c r="D33" t="s">
        <v>60</v>
      </c>
      <c r="E33" t="s">
        <v>21</v>
      </c>
      <c r="F33" s="3" t="s">
        <v>9</v>
      </c>
      <c r="G33" s="15">
        <v>61657.742100000003</v>
      </c>
      <c r="H33" s="15">
        <v>103040.32026184921</v>
      </c>
      <c r="I33" s="15">
        <v>139776.43658166332</v>
      </c>
      <c r="J33" s="15">
        <v>174835.58365940221</v>
      </c>
      <c r="K33" s="15">
        <v>211017.3332475558</v>
      </c>
      <c r="L33" s="18">
        <v>3</v>
      </c>
      <c r="M33" s="19">
        <v>1.5</v>
      </c>
      <c r="N33" s="43">
        <v>199422.17250791588</v>
      </c>
      <c r="O33" s="43">
        <v>190665.53106186041</v>
      </c>
      <c r="P33" s="43">
        <v>314755.25381790136</v>
      </c>
      <c r="Q33" s="43">
        <v>401317.45486884547</v>
      </c>
      <c r="R33" s="43">
        <v>488387.54467427108</v>
      </c>
      <c r="S33" s="41">
        <v>314755.25381790136</v>
      </c>
      <c r="T33" t="s">
        <v>18</v>
      </c>
      <c r="U33" s="25" t="s">
        <v>143</v>
      </c>
      <c r="V33" s="109">
        <v>300255.78999999998</v>
      </c>
      <c r="W33" s="102" t="s">
        <v>48</v>
      </c>
      <c r="X33" s="94">
        <v>373750</v>
      </c>
      <c r="Y33" s="94">
        <v>590811.68799999997</v>
      </c>
      <c r="AA33" s="89">
        <v>-1.1850000000000001</v>
      </c>
      <c r="AB33" s="89">
        <v>2.2200000000000002</v>
      </c>
      <c r="AC33" s="90">
        <v>40.918999999999997</v>
      </c>
      <c r="AD33" s="90">
        <v>9.01</v>
      </c>
      <c r="AE33" s="91">
        <v>71.599476879999997</v>
      </c>
      <c r="AF33" s="91">
        <v>54.698</v>
      </c>
    </row>
    <row r="34" spans="1:32" s="46" customFormat="1" hidden="1" x14ac:dyDescent="0.35">
      <c r="A34" s="46" t="s">
        <v>53</v>
      </c>
      <c r="B34" s="46" t="s">
        <v>15</v>
      </c>
      <c r="C34" s="46">
        <v>2019</v>
      </c>
      <c r="D34" s="46" t="s">
        <v>138</v>
      </c>
      <c r="E34" s="46" t="s">
        <v>21</v>
      </c>
      <c r="F34" s="62" t="s">
        <v>5</v>
      </c>
      <c r="G34" s="63">
        <v>203602.15368239596</v>
      </c>
      <c r="H34" s="63">
        <v>291992.95345896122</v>
      </c>
      <c r="I34" s="63">
        <v>482029.00475595391</v>
      </c>
      <c r="J34" s="63">
        <v>614593.88212003838</v>
      </c>
      <c r="K34" s="63">
        <v>747936.56099142064</v>
      </c>
      <c r="L34" s="64">
        <v>3</v>
      </c>
      <c r="M34" s="65">
        <v>1.5</v>
      </c>
      <c r="N34" s="66">
        <v>203602.15368239596</v>
      </c>
      <c r="O34" s="66">
        <v>194661.96897264081</v>
      </c>
      <c r="P34" s="66">
        <v>321352.66983730259</v>
      </c>
      <c r="Q34" s="66">
        <v>409729.25474669226</v>
      </c>
      <c r="R34" s="66">
        <v>498624.37399428041</v>
      </c>
      <c r="S34" s="67">
        <v>321352.66983730259</v>
      </c>
      <c r="T34" s="46" t="s">
        <v>18</v>
      </c>
      <c r="U34" s="46" t="s">
        <v>143</v>
      </c>
      <c r="V34" s="110">
        <v>309143.36</v>
      </c>
      <c r="W34" s="103" t="s">
        <v>48</v>
      </c>
      <c r="X34" s="92">
        <v>383333.34399999998</v>
      </c>
      <c r="Y34" s="92">
        <v>664902.40300000005</v>
      </c>
      <c r="AA34" s="89">
        <v>-0.105</v>
      </c>
      <c r="AB34" s="89">
        <v>2.1</v>
      </c>
      <c r="AC34" s="90">
        <v>41.847000000000001</v>
      </c>
      <c r="AD34" s="90">
        <v>10.807</v>
      </c>
      <c r="AE34" s="91">
        <v>71.596752429999995</v>
      </c>
      <c r="AF34" s="91">
        <v>56.087000000000003</v>
      </c>
    </row>
    <row r="35" spans="1:32" s="46" customFormat="1" hidden="1" x14ac:dyDescent="0.35">
      <c r="A35" s="46" t="s">
        <v>53</v>
      </c>
      <c r="B35" s="46" t="s">
        <v>15</v>
      </c>
      <c r="C35" s="46">
        <v>2020</v>
      </c>
      <c r="D35" s="46" t="s">
        <v>138</v>
      </c>
      <c r="E35" s="46" t="s">
        <v>21</v>
      </c>
      <c r="F35" s="62" t="s">
        <v>5</v>
      </c>
      <c r="G35" s="63">
        <v>205078.08906416234</v>
      </c>
      <c r="H35" s="63">
        <v>294109.64389392006</v>
      </c>
      <c r="I35" s="63">
        <v>485523.28833935229</v>
      </c>
      <c r="J35" s="63">
        <v>619049.14371541981</v>
      </c>
      <c r="K35" s="63">
        <v>753358.43897118862</v>
      </c>
      <c r="L35" s="64">
        <v>3</v>
      </c>
      <c r="M35" s="65">
        <v>1.5</v>
      </c>
      <c r="N35" s="66">
        <v>205078.08906416234</v>
      </c>
      <c r="O35" s="66">
        <v>196073.09592928004</v>
      </c>
      <c r="P35" s="66">
        <v>323682.19222623488</v>
      </c>
      <c r="Q35" s="66">
        <v>412699.4291436132</v>
      </c>
      <c r="R35" s="66">
        <v>502238.95931412576</v>
      </c>
      <c r="S35" s="67">
        <v>323682.19222623488</v>
      </c>
      <c r="T35" s="46" t="s">
        <v>18</v>
      </c>
      <c r="U35" s="46" t="s">
        <v>143</v>
      </c>
      <c r="V35" s="110">
        <v>316964.69</v>
      </c>
      <c r="W35" s="103" t="s">
        <v>48</v>
      </c>
      <c r="X35" s="92">
        <v>383333.34399999998</v>
      </c>
      <c r="Y35" s="92">
        <v>697392.19099999999</v>
      </c>
      <c r="AA35" s="89">
        <v>7.0140000000000002</v>
      </c>
      <c r="AB35" s="89">
        <v>0.72</v>
      </c>
      <c r="AC35" s="90">
        <v>40.015999999999998</v>
      </c>
      <c r="AD35" s="90">
        <v>16.431999999999999</v>
      </c>
      <c r="AE35" s="91">
        <v>71.209167010000002</v>
      </c>
      <c r="AF35" s="91">
        <v>55.750999999999998</v>
      </c>
    </row>
    <row r="36" spans="1:32" s="46" customFormat="1" hidden="1" x14ac:dyDescent="0.35">
      <c r="A36" s="46" t="s">
        <v>53</v>
      </c>
      <c r="B36" s="46" t="s">
        <v>15</v>
      </c>
      <c r="C36" s="46">
        <v>2021</v>
      </c>
      <c r="D36" s="46" t="s">
        <v>138</v>
      </c>
      <c r="E36" s="46" t="s">
        <v>21</v>
      </c>
      <c r="F36" s="62" t="s">
        <v>5</v>
      </c>
      <c r="G36" s="63">
        <v>208618.7162340644</v>
      </c>
      <c r="H36" s="63">
        <v>299187.38087134639</v>
      </c>
      <c r="I36" s="63">
        <v>493905.73891785688</v>
      </c>
      <c r="J36" s="63">
        <v>629736.88821189629</v>
      </c>
      <c r="K36" s="63">
        <v>766365.00329928636</v>
      </c>
      <c r="L36" s="64">
        <v>3</v>
      </c>
      <c r="M36" s="65">
        <v>1.5</v>
      </c>
      <c r="N36" s="66">
        <v>208618.7162340644</v>
      </c>
      <c r="O36" s="66">
        <v>199458.25391423094</v>
      </c>
      <c r="P36" s="66">
        <v>329270.49261190457</v>
      </c>
      <c r="Q36" s="66">
        <v>419824.59214126418</v>
      </c>
      <c r="R36" s="66">
        <v>510910.00219952426</v>
      </c>
      <c r="S36" s="67">
        <v>329270.49261190457</v>
      </c>
      <c r="T36" s="46" t="s">
        <v>18</v>
      </c>
      <c r="U36" s="46" t="s">
        <v>143</v>
      </c>
      <c r="V36" s="110">
        <v>319574.46000000002</v>
      </c>
      <c r="W36" s="103" t="s">
        <v>48</v>
      </c>
      <c r="X36" s="92">
        <v>380000</v>
      </c>
      <c r="Y36" s="92">
        <v>629003.31499999994</v>
      </c>
      <c r="AA36" s="89">
        <v>3.2320000000000002</v>
      </c>
      <c r="AB36" s="89">
        <v>1.73</v>
      </c>
      <c r="AC36" s="90">
        <v>41.314999999999998</v>
      </c>
      <c r="AD36" s="90">
        <v>15.138999999999999</v>
      </c>
      <c r="AE36" s="91">
        <v>71.727409870000002</v>
      </c>
      <c r="AF36" s="91">
        <v>53.984000000000002</v>
      </c>
    </row>
    <row r="37" spans="1:32" s="46" customFormat="1" hidden="1" x14ac:dyDescent="0.35">
      <c r="A37" s="46" t="s">
        <v>53</v>
      </c>
      <c r="B37" s="46" t="s">
        <v>15</v>
      </c>
      <c r="C37" s="46">
        <v>2022</v>
      </c>
      <c r="D37" s="46" t="s">
        <v>138</v>
      </c>
      <c r="E37" s="46" t="s">
        <v>21</v>
      </c>
      <c r="F37" s="62" t="s">
        <v>5</v>
      </c>
      <c r="G37" s="63">
        <v>225881.44540655657</v>
      </c>
      <c r="H37" s="63">
        <v>323944.46317461669</v>
      </c>
      <c r="I37" s="63">
        <v>534775.3270429821</v>
      </c>
      <c r="J37" s="63">
        <v>681846.19818834634</v>
      </c>
      <c r="K37" s="63">
        <v>829779.98225250957</v>
      </c>
      <c r="L37" s="64">
        <v>3</v>
      </c>
      <c r="M37" s="65">
        <v>1.5</v>
      </c>
      <c r="N37" s="66">
        <v>225881.44540655657</v>
      </c>
      <c r="O37" s="66">
        <v>215962.97544974447</v>
      </c>
      <c r="P37" s="66">
        <v>356516.88469532138</v>
      </c>
      <c r="Q37" s="66">
        <v>454564.13212556421</v>
      </c>
      <c r="R37" s="66">
        <v>553186.65483500634</v>
      </c>
      <c r="S37" s="67">
        <v>356516.88469532138</v>
      </c>
      <c r="T37" s="46" t="s">
        <v>18</v>
      </c>
      <c r="U37" s="46" t="s">
        <v>143</v>
      </c>
      <c r="V37" s="110">
        <v>330299.11</v>
      </c>
      <c r="W37" s="103" t="s">
        <v>48</v>
      </c>
      <c r="X37" s="92">
        <v>391666.65600000002</v>
      </c>
      <c r="Y37" s="92">
        <v>615297.27500000002</v>
      </c>
      <c r="AA37" s="89">
        <v>-0.499</v>
      </c>
      <c r="AB37" s="89">
        <v>8.27</v>
      </c>
      <c r="AC37" s="90">
        <v>39.869</v>
      </c>
      <c r="AD37" s="90">
        <v>11.324999999999999</v>
      </c>
      <c r="AE37" s="91">
        <v>72.355756569999997</v>
      </c>
      <c r="AF37" s="91">
        <v>53.353999999999999</v>
      </c>
    </row>
    <row r="38" spans="1:32" s="46" customFormat="1" hidden="1" x14ac:dyDescent="0.35">
      <c r="A38" s="46" t="s">
        <v>53</v>
      </c>
      <c r="B38" s="46" t="s">
        <v>15</v>
      </c>
      <c r="C38" s="46">
        <v>2023</v>
      </c>
      <c r="D38" s="46" t="s">
        <v>138</v>
      </c>
      <c r="E38" s="46" t="s">
        <v>21</v>
      </c>
      <c r="F38" s="62" t="s">
        <v>5</v>
      </c>
      <c r="G38" s="63">
        <v>227067.76009517472</v>
      </c>
      <c r="H38" s="63">
        <v>325645.79846698162</v>
      </c>
      <c r="I38" s="63">
        <v>537583.93234670593</v>
      </c>
      <c r="J38" s="63">
        <v>685427.21016050456</v>
      </c>
      <c r="K38" s="63">
        <v>834137.9328557374</v>
      </c>
      <c r="L38" s="64">
        <v>3</v>
      </c>
      <c r="M38" s="65">
        <v>1.5</v>
      </c>
      <c r="N38" s="66">
        <v>227067.76009517472</v>
      </c>
      <c r="O38" s="66">
        <v>217097.19897798775</v>
      </c>
      <c r="P38" s="66">
        <v>358389.28823113727</v>
      </c>
      <c r="Q38" s="66">
        <v>456951.47344033635</v>
      </c>
      <c r="R38" s="66">
        <v>556091.95523715822</v>
      </c>
      <c r="S38" s="67">
        <v>358389.28823113727</v>
      </c>
      <c r="T38" s="46" t="s">
        <v>18</v>
      </c>
      <c r="U38" s="46" t="s">
        <v>143</v>
      </c>
      <c r="V38" s="110">
        <v>352164.91</v>
      </c>
      <c r="W38" s="103" t="s">
        <v>48</v>
      </c>
      <c r="X38" s="92">
        <v>411666.65600000002</v>
      </c>
      <c r="Y38" s="92">
        <v>579003.73699999996</v>
      </c>
      <c r="AA38" s="89">
        <v>8.8059999999999992</v>
      </c>
      <c r="AB38" s="89">
        <v>0.53</v>
      </c>
      <c r="AC38" s="90">
        <v>37.101999999999997</v>
      </c>
      <c r="AD38" s="90">
        <v>8.3249999999999993</v>
      </c>
      <c r="AE38" s="91">
        <v>73.391012570000001</v>
      </c>
      <c r="AF38" s="91">
        <v>54.262999999999998</v>
      </c>
    </row>
    <row r="39" spans="1:32" s="46" customFormat="1" hidden="1" x14ac:dyDescent="0.35">
      <c r="A39" s="46" t="s">
        <v>53</v>
      </c>
      <c r="B39" s="46" t="s">
        <v>15</v>
      </c>
      <c r="C39" s="46">
        <v>2024</v>
      </c>
      <c r="D39" s="46" t="s">
        <v>138</v>
      </c>
      <c r="E39" s="46" t="s">
        <v>21</v>
      </c>
      <c r="F39" s="62" t="s">
        <v>5</v>
      </c>
      <c r="G39" s="63">
        <v>226131.61650579525</v>
      </c>
      <c r="H39" s="63">
        <v>324303.24227795925</v>
      </c>
      <c r="I39" s="63">
        <v>535367.60823354765</v>
      </c>
      <c r="J39" s="63">
        <v>682601.36518581922</v>
      </c>
      <c r="K39" s="63">
        <v>830698.99076121091</v>
      </c>
      <c r="L39" s="64">
        <v>3</v>
      </c>
      <c r="M39" s="65">
        <v>1.5</v>
      </c>
      <c r="N39" s="66">
        <v>226131.61650579525</v>
      </c>
      <c r="O39" s="66">
        <v>216202.16151863951</v>
      </c>
      <c r="P39" s="66">
        <v>356911.73882236512</v>
      </c>
      <c r="Q39" s="66">
        <v>455067.57679054613</v>
      </c>
      <c r="R39" s="66">
        <v>553799.32717414061</v>
      </c>
      <c r="S39" s="67">
        <v>356911.73882236512</v>
      </c>
      <c r="T39" s="46" t="s">
        <v>18</v>
      </c>
      <c r="U39" s="46" t="s">
        <v>143</v>
      </c>
      <c r="V39" s="110">
        <v>358609.5</v>
      </c>
      <c r="W39" s="103" t="s">
        <v>48</v>
      </c>
      <c r="X39" s="92">
        <v>433333.34399999998</v>
      </c>
      <c r="Y39" s="92">
        <v>604715.84400000004</v>
      </c>
      <c r="AA39" s="89">
        <v>9.8000000000000004E-2</v>
      </c>
      <c r="AB39" s="89">
        <v>-0.41</v>
      </c>
      <c r="AC39" s="90">
        <v>37.375999999999998</v>
      </c>
      <c r="AD39" s="90">
        <v>6.9359999999999999</v>
      </c>
      <c r="AE39" s="91">
        <v>73.1903176</v>
      </c>
      <c r="AF39" s="91">
        <v>55.298999999999999</v>
      </c>
    </row>
    <row r="40" spans="1:32" s="46" customFormat="1" hidden="1" x14ac:dyDescent="0.35">
      <c r="A40" s="46" t="s">
        <v>53</v>
      </c>
      <c r="B40" s="46" t="s">
        <v>15</v>
      </c>
      <c r="C40" s="46">
        <v>2025</v>
      </c>
      <c r="D40" s="46" t="s">
        <v>138</v>
      </c>
      <c r="E40" s="46" t="s">
        <v>21</v>
      </c>
      <c r="F40" s="62" t="s">
        <v>5</v>
      </c>
      <c r="G40" s="63">
        <v>225963.83872884544</v>
      </c>
      <c r="H40" s="63">
        <v>324062.62631329329</v>
      </c>
      <c r="I40" s="63">
        <v>534970.39360010403</v>
      </c>
      <c r="J40" s="63">
        <v>682094.91084138281</v>
      </c>
      <c r="K40" s="63">
        <v>830082.65576065693</v>
      </c>
      <c r="L40" s="64">
        <v>3</v>
      </c>
      <c r="M40" s="65">
        <v>1.5</v>
      </c>
      <c r="N40" s="66">
        <v>225963.83872884544</v>
      </c>
      <c r="O40" s="66">
        <v>216041.75087552887</v>
      </c>
      <c r="P40" s="66">
        <v>356646.92906673602</v>
      </c>
      <c r="Q40" s="66">
        <v>454729.94056092185</v>
      </c>
      <c r="R40" s="66">
        <v>553388.43717377132</v>
      </c>
      <c r="S40" s="67">
        <v>356646.92906673602</v>
      </c>
      <c r="T40" s="46" t="s">
        <v>18</v>
      </c>
      <c r="U40" s="46" t="s">
        <v>143</v>
      </c>
      <c r="V40" s="110">
        <v>367108.55</v>
      </c>
      <c r="W40" s="103" t="s">
        <v>48</v>
      </c>
      <c r="X40" s="92">
        <v>450000</v>
      </c>
      <c r="Y40" s="92">
        <v>606508.07299999997</v>
      </c>
      <c r="AA40" s="89">
        <v>2.4580000000000002</v>
      </c>
      <c r="AB40" s="89">
        <v>-7.0000000000000007E-2</v>
      </c>
      <c r="AC40" s="90">
        <v>36.11</v>
      </c>
      <c r="AD40" s="90">
        <v>6.3419999999999996</v>
      </c>
      <c r="AE40" s="91">
        <v>73.412546430000006</v>
      </c>
      <c r="AF40" s="91">
        <v>55.393000000000001</v>
      </c>
    </row>
    <row r="41" spans="1:32" s="47" customFormat="1" x14ac:dyDescent="0.35">
      <c r="A41" s="47" t="s">
        <v>53</v>
      </c>
      <c r="B41" s="47" t="s">
        <v>19</v>
      </c>
      <c r="C41" s="47">
        <v>2018</v>
      </c>
      <c r="D41" s="47" t="s">
        <v>60</v>
      </c>
      <c r="E41" s="47" t="s">
        <v>21</v>
      </c>
      <c r="F41" s="48" t="s">
        <v>5</v>
      </c>
      <c r="G41" s="49">
        <v>2433.9393836653294</v>
      </c>
      <c r="H41" s="49">
        <v>4164.6553427744766</v>
      </c>
      <c r="I41" s="49">
        <v>5995.5284606200848</v>
      </c>
      <c r="J41" s="49">
        <v>7592.1232706023338</v>
      </c>
      <c r="K41" s="49">
        <v>9198.1323376658147</v>
      </c>
      <c r="L41" s="50">
        <v>4</v>
      </c>
      <c r="M41" s="51">
        <v>1.5</v>
      </c>
      <c r="N41" s="52">
        <v>2433.9393836653294</v>
      </c>
      <c r="O41" s="52">
        <v>2776.4368951829842</v>
      </c>
      <c r="P41" s="52">
        <v>3997.0189737467231</v>
      </c>
      <c r="Q41" s="52">
        <v>5061.4155137348889</v>
      </c>
      <c r="R41" s="52">
        <v>6132.0882251105431</v>
      </c>
      <c r="S41" s="53">
        <v>5061.4155137348889</v>
      </c>
      <c r="T41" s="47" t="s">
        <v>150</v>
      </c>
      <c r="U41" s="83" t="s">
        <v>144</v>
      </c>
      <c r="V41" s="108">
        <f>MEDIAN($V$53,$V$65,$V$77,$V$89)</f>
        <v>3310</v>
      </c>
      <c r="W41" s="101" t="s">
        <v>154</v>
      </c>
      <c r="X41" s="53">
        <v>5200</v>
      </c>
      <c r="Y41" s="53">
        <v>5761.2412459999996</v>
      </c>
      <c r="AA41" s="86">
        <v>5.3579999999999997</v>
      </c>
      <c r="AB41" s="86">
        <v>3.54</v>
      </c>
      <c r="AC41" s="87">
        <v>71.430999999999997</v>
      </c>
      <c r="AD41" s="87">
        <v>1.161</v>
      </c>
      <c r="AE41" s="88">
        <v>43.944338950000002</v>
      </c>
      <c r="AF41" s="88">
        <v>48.433</v>
      </c>
    </row>
    <row r="42" spans="1:32" x14ac:dyDescent="0.35">
      <c r="A42" t="s">
        <v>53</v>
      </c>
      <c r="B42" t="s">
        <v>19</v>
      </c>
      <c r="C42">
        <v>2018</v>
      </c>
      <c r="D42" t="s">
        <v>60</v>
      </c>
      <c r="E42" t="s">
        <v>21</v>
      </c>
      <c r="F42" s="3" t="s">
        <v>6</v>
      </c>
      <c r="G42" s="15">
        <v>1021.0661789999998</v>
      </c>
      <c r="H42" s="15">
        <v>1739.5261219930228</v>
      </c>
      <c r="I42" s="15">
        <v>2655.5143805121324</v>
      </c>
      <c r="J42" s="15">
        <v>3411.1595116119775</v>
      </c>
      <c r="K42" s="15">
        <v>4090.3155541767528</v>
      </c>
      <c r="L42" s="18">
        <v>4</v>
      </c>
      <c r="M42" s="19">
        <v>1.5</v>
      </c>
      <c r="N42" s="43">
        <v>2433.9393836653294</v>
      </c>
      <c r="O42" s="43">
        <v>2776.4368951829842</v>
      </c>
      <c r="P42" s="43">
        <v>3997.0189737467231</v>
      </c>
      <c r="Q42" s="43">
        <v>5061.4155137348889</v>
      </c>
      <c r="R42" s="43">
        <v>6132.0882251105431</v>
      </c>
      <c r="S42" s="41">
        <v>5061.4155137348889</v>
      </c>
      <c r="T42" t="s">
        <v>150</v>
      </c>
      <c r="U42" s="25" t="s">
        <v>144</v>
      </c>
      <c r="V42" s="111">
        <f>MEDIAN($V$53,$V$65,$V$77,$V$89)</f>
        <v>3310</v>
      </c>
      <c r="W42" s="102" t="s">
        <v>154</v>
      </c>
      <c r="X42" s="94">
        <v>5200</v>
      </c>
      <c r="Y42" s="94">
        <v>5761.2412459999996</v>
      </c>
      <c r="AA42" s="89">
        <v>5.3579999999999997</v>
      </c>
      <c r="AB42" s="89">
        <v>3.54</v>
      </c>
      <c r="AC42" s="90">
        <v>71.430999999999997</v>
      </c>
      <c r="AD42" s="90">
        <v>1.161</v>
      </c>
      <c r="AE42" s="91">
        <v>43.944338950000002</v>
      </c>
      <c r="AF42" s="91">
        <v>48.433</v>
      </c>
    </row>
    <row r="43" spans="1:32" x14ac:dyDescent="0.35">
      <c r="A43" t="s">
        <v>53</v>
      </c>
      <c r="B43" t="s">
        <v>19</v>
      </c>
      <c r="C43">
        <v>2018</v>
      </c>
      <c r="D43" t="s">
        <v>60</v>
      </c>
      <c r="E43" t="s">
        <v>21</v>
      </c>
      <c r="F43" s="3" t="s">
        <v>7</v>
      </c>
      <c r="G43" s="15">
        <v>439.31711166532949</v>
      </c>
      <c r="H43" s="15">
        <v>738.99068963115894</v>
      </c>
      <c r="I43" s="15">
        <v>1004.7235061839484</v>
      </c>
      <c r="J43" s="15">
        <v>1244.6846630151147</v>
      </c>
      <c r="K43" s="15">
        <v>1514.5892348602783</v>
      </c>
      <c r="L43" s="18">
        <v>4</v>
      </c>
      <c r="M43" s="19">
        <v>1.5</v>
      </c>
      <c r="N43" s="43">
        <v>2433.9393836653294</v>
      </c>
      <c r="O43" s="43">
        <v>2776.4368951829842</v>
      </c>
      <c r="P43" s="43">
        <v>3997.0189737467231</v>
      </c>
      <c r="Q43" s="43">
        <v>5061.4155137348889</v>
      </c>
      <c r="R43" s="43">
        <v>6132.0882251105431</v>
      </c>
      <c r="S43" s="41">
        <v>5061.4155137348889</v>
      </c>
      <c r="T43" t="s">
        <v>150</v>
      </c>
      <c r="U43" s="25" t="s">
        <v>144</v>
      </c>
      <c r="V43" s="111">
        <f>MEDIAN($V$53,$V$65,$V$77,$V$89)</f>
        <v>3310</v>
      </c>
      <c r="W43" s="102" t="s">
        <v>154</v>
      </c>
      <c r="X43" s="94">
        <v>5200</v>
      </c>
      <c r="Y43" s="94">
        <v>5761.2412459999996</v>
      </c>
      <c r="AA43" s="89">
        <v>5.3579999999999997</v>
      </c>
      <c r="AB43" s="89">
        <v>3.54</v>
      </c>
      <c r="AC43" s="90">
        <v>71.430999999999997</v>
      </c>
      <c r="AD43" s="90">
        <v>1.161</v>
      </c>
      <c r="AE43" s="91">
        <v>43.944338950000002</v>
      </c>
      <c r="AF43" s="91">
        <v>48.433</v>
      </c>
    </row>
    <row r="44" spans="1:32" x14ac:dyDescent="0.35">
      <c r="A44" t="s">
        <v>53</v>
      </c>
      <c r="B44" t="s">
        <v>19</v>
      </c>
      <c r="C44">
        <v>2018</v>
      </c>
      <c r="D44" t="s">
        <v>60</v>
      </c>
      <c r="E44" t="s">
        <v>21</v>
      </c>
      <c r="F44" s="3" t="s">
        <v>8</v>
      </c>
      <c r="G44" s="15">
        <v>152.535676</v>
      </c>
      <c r="H44" s="15">
        <v>305.07135199999999</v>
      </c>
      <c r="I44" s="15">
        <v>457.60702800000001</v>
      </c>
      <c r="J44" s="15">
        <v>610.14270399999998</v>
      </c>
      <c r="K44" s="15">
        <v>762.67837999999995</v>
      </c>
      <c r="L44" s="18">
        <v>4</v>
      </c>
      <c r="M44" s="19">
        <v>1.5</v>
      </c>
      <c r="N44" s="43">
        <v>2433.9393836653294</v>
      </c>
      <c r="O44" s="43">
        <v>2776.4368951829842</v>
      </c>
      <c r="P44" s="43">
        <v>3997.0189737467231</v>
      </c>
      <c r="Q44" s="43">
        <v>5061.4155137348889</v>
      </c>
      <c r="R44" s="43">
        <v>6132.0882251105431</v>
      </c>
      <c r="S44" s="41">
        <v>5061.4155137348889</v>
      </c>
      <c r="T44" t="s">
        <v>150</v>
      </c>
      <c r="U44" s="25" t="s">
        <v>144</v>
      </c>
      <c r="V44" s="111">
        <f t="shared" ref="V44:V45" si="0">MEDIAN($V$53,$V$65,$V$77,$V$89)</f>
        <v>3310</v>
      </c>
      <c r="W44" s="102" t="s">
        <v>154</v>
      </c>
      <c r="X44" s="94">
        <v>5200</v>
      </c>
      <c r="Y44" s="94">
        <v>5761.2412459999996</v>
      </c>
      <c r="AA44" s="89">
        <v>5.3579999999999997</v>
      </c>
      <c r="AB44" s="89">
        <v>3.54</v>
      </c>
      <c r="AC44" s="90">
        <v>71.430999999999997</v>
      </c>
      <c r="AD44" s="90">
        <v>1.161</v>
      </c>
      <c r="AE44" s="91">
        <v>43.944338950000002</v>
      </c>
      <c r="AF44" s="91">
        <v>48.433</v>
      </c>
    </row>
    <row r="45" spans="1:32" x14ac:dyDescent="0.35">
      <c r="A45" t="s">
        <v>53</v>
      </c>
      <c r="B45" t="s">
        <v>19</v>
      </c>
      <c r="C45">
        <v>2018</v>
      </c>
      <c r="D45" t="s">
        <v>60</v>
      </c>
      <c r="E45" t="s">
        <v>21</v>
      </c>
      <c r="F45" s="3" t="s">
        <v>9</v>
      </c>
      <c r="G45" s="15">
        <v>821.02041700000007</v>
      </c>
      <c r="H45" s="15">
        <v>1381.067179150295</v>
      </c>
      <c r="I45" s="15">
        <v>1877.683545924004</v>
      </c>
      <c r="J45" s="15">
        <v>2326.1363919752421</v>
      </c>
      <c r="K45" s="15">
        <v>2830.5491686287833</v>
      </c>
      <c r="L45" s="18">
        <v>4</v>
      </c>
      <c r="M45" s="19">
        <v>1.5</v>
      </c>
      <c r="N45" s="43">
        <v>2433.9393836653294</v>
      </c>
      <c r="O45" s="43">
        <v>2776.4368951829842</v>
      </c>
      <c r="P45" s="43">
        <v>3997.0189737467231</v>
      </c>
      <c r="Q45" s="43">
        <v>5061.4155137348889</v>
      </c>
      <c r="R45" s="43">
        <v>6132.0882251105431</v>
      </c>
      <c r="S45" s="41">
        <v>5061.4155137348889</v>
      </c>
      <c r="T45" t="s">
        <v>150</v>
      </c>
      <c r="U45" s="25" t="s">
        <v>144</v>
      </c>
      <c r="V45" s="111">
        <f t="shared" si="0"/>
        <v>3310</v>
      </c>
      <c r="W45" s="102" t="s">
        <v>154</v>
      </c>
      <c r="X45" s="94">
        <v>5200</v>
      </c>
      <c r="Y45" s="94">
        <v>5761.2412459999996</v>
      </c>
      <c r="AA45" s="89">
        <v>5.3579999999999997</v>
      </c>
      <c r="AB45" s="89">
        <v>3.54</v>
      </c>
      <c r="AC45" s="90">
        <v>71.430999999999997</v>
      </c>
      <c r="AD45" s="90">
        <v>1.161</v>
      </c>
      <c r="AE45" s="91">
        <v>43.944338950000002</v>
      </c>
      <c r="AF45" s="91">
        <v>48.433</v>
      </c>
    </row>
    <row r="46" spans="1:32" s="46" customFormat="1" x14ac:dyDescent="0.35">
      <c r="A46" s="46" t="s">
        <v>53</v>
      </c>
      <c r="B46" s="46" t="s">
        <v>19</v>
      </c>
      <c r="C46" s="46">
        <v>2019</v>
      </c>
      <c r="D46" s="46" t="s">
        <v>138</v>
      </c>
      <c r="E46" s="46" t="s">
        <v>21</v>
      </c>
      <c r="F46" s="62" t="s">
        <v>5</v>
      </c>
      <c r="G46" s="63">
        <v>2501.9880371773716</v>
      </c>
      <c r="H46" s="63">
        <v>4281.0917628100315</v>
      </c>
      <c r="I46" s="63">
        <v>6163.152864734835</v>
      </c>
      <c r="J46" s="63">
        <v>7804.3856504007654</v>
      </c>
      <c r="K46" s="63">
        <v>9455.2958991761843</v>
      </c>
      <c r="L46" s="64">
        <v>4</v>
      </c>
      <c r="M46" s="65">
        <v>1.5</v>
      </c>
      <c r="N46" s="66">
        <v>2501.9880371773716</v>
      </c>
      <c r="O46" s="66">
        <v>2854.0611752066875</v>
      </c>
      <c r="P46" s="66">
        <v>4108.7685764898897</v>
      </c>
      <c r="Q46" s="66">
        <v>5202.9237669338436</v>
      </c>
      <c r="R46" s="66">
        <v>6303.5305994507899</v>
      </c>
      <c r="S46" s="67">
        <v>5202.9237669338436</v>
      </c>
      <c r="T46" s="46" t="s">
        <v>150</v>
      </c>
      <c r="U46" s="46" t="s">
        <v>144</v>
      </c>
      <c r="V46" s="110">
        <f t="shared" ref="V46:V51" si="1">MEDIAN(V58,V70,V82,V94)</f>
        <v>3480</v>
      </c>
      <c r="W46" s="102" t="s">
        <v>154</v>
      </c>
      <c r="X46" s="92">
        <v>6000</v>
      </c>
      <c r="Y46" s="92">
        <v>6645.391302</v>
      </c>
      <c r="AA46" s="89">
        <v>8.0340000000000007</v>
      </c>
      <c r="AB46" s="89">
        <v>2.8</v>
      </c>
      <c r="AC46" s="90">
        <v>69.676000000000002</v>
      </c>
      <c r="AD46" s="90">
        <v>1.681</v>
      </c>
      <c r="AE46" s="91">
        <v>44.347316030000002</v>
      </c>
      <c r="AF46" s="91">
        <v>46.764000000000003</v>
      </c>
    </row>
    <row r="47" spans="1:32" s="46" customFormat="1" x14ac:dyDescent="0.35">
      <c r="A47" s="46" t="s">
        <v>53</v>
      </c>
      <c r="B47" s="46" t="s">
        <v>19</v>
      </c>
      <c r="C47" s="46">
        <v>2020</v>
      </c>
      <c r="D47" s="46" t="s">
        <v>138</v>
      </c>
      <c r="E47" s="46" t="s">
        <v>21</v>
      </c>
      <c r="F47" s="62" t="s">
        <v>5</v>
      </c>
      <c r="G47" s="63">
        <v>2582.5754297131652</v>
      </c>
      <c r="H47" s="63">
        <v>4418.9829186608558</v>
      </c>
      <c r="I47" s="63">
        <v>6361.6639734165574</v>
      </c>
      <c r="J47" s="63">
        <v>8055.7597899106795</v>
      </c>
      <c r="K47" s="63">
        <v>9759.8447742493918</v>
      </c>
      <c r="L47" s="64">
        <v>4</v>
      </c>
      <c r="M47" s="65">
        <v>1.5</v>
      </c>
      <c r="N47" s="66">
        <v>2582.5754297131652</v>
      </c>
      <c r="O47" s="66">
        <v>2945.9886124405707</v>
      </c>
      <c r="P47" s="66">
        <v>4241.1093156110383</v>
      </c>
      <c r="Q47" s="66">
        <v>5370.5065266071197</v>
      </c>
      <c r="R47" s="66">
        <v>6506.5631828329279</v>
      </c>
      <c r="S47" s="67">
        <v>5370.5065266071197</v>
      </c>
      <c r="T47" s="46" t="s">
        <v>150</v>
      </c>
      <c r="U47" s="46" t="s">
        <v>144</v>
      </c>
      <c r="V47" s="110">
        <f t="shared" si="1"/>
        <v>3675</v>
      </c>
      <c r="W47" s="102" t="s">
        <v>154</v>
      </c>
      <c r="X47" s="92">
        <v>6300</v>
      </c>
      <c r="Y47" s="92">
        <v>6873.9595909999998</v>
      </c>
      <c r="AA47" s="89">
        <v>5.2380000000000004</v>
      </c>
      <c r="AB47" s="89">
        <v>3.22</v>
      </c>
      <c r="AC47" s="90">
        <v>69.230999999999995</v>
      </c>
      <c r="AD47" s="90">
        <v>2.1030000000000002</v>
      </c>
      <c r="AE47" s="91">
        <v>44.149115989999999</v>
      </c>
      <c r="AF47" s="91">
        <v>46.136000000000003</v>
      </c>
    </row>
    <row r="48" spans="1:32" s="46" customFormat="1" x14ac:dyDescent="0.35">
      <c r="A48" s="46" t="s">
        <v>53</v>
      </c>
      <c r="B48" s="46" t="s">
        <v>19</v>
      </c>
      <c r="C48" s="46">
        <v>2021</v>
      </c>
      <c r="D48" s="46" t="s">
        <v>138</v>
      </c>
      <c r="E48" s="46" t="s">
        <v>21</v>
      </c>
      <c r="F48" s="62" t="s">
        <v>5</v>
      </c>
      <c r="G48" s="63">
        <v>2629.9583426636377</v>
      </c>
      <c r="H48" s="63">
        <v>4500.0586853376062</v>
      </c>
      <c r="I48" s="63">
        <v>6478.3824114549898</v>
      </c>
      <c r="J48" s="63">
        <v>8203.5600672941164</v>
      </c>
      <c r="K48" s="63">
        <v>9938.9101637934036</v>
      </c>
      <c r="L48" s="64">
        <v>4</v>
      </c>
      <c r="M48" s="65">
        <v>1.5</v>
      </c>
      <c r="N48" s="66">
        <v>2629.9583426636377</v>
      </c>
      <c r="O48" s="66">
        <v>3000.0391235584043</v>
      </c>
      <c r="P48" s="66">
        <v>4318.9216076366602</v>
      </c>
      <c r="Q48" s="66">
        <v>5469.0400448627443</v>
      </c>
      <c r="R48" s="66">
        <v>6625.9401091956024</v>
      </c>
      <c r="S48" s="67">
        <v>5469.0400448627443</v>
      </c>
      <c r="T48" s="46" t="s">
        <v>150</v>
      </c>
      <c r="U48" s="46" t="s">
        <v>144</v>
      </c>
      <c r="V48" s="110">
        <f t="shared" si="1"/>
        <v>3675</v>
      </c>
      <c r="W48" s="102" t="s">
        <v>154</v>
      </c>
      <c r="X48" s="92">
        <v>6300</v>
      </c>
      <c r="Y48" s="92">
        <v>6746.8023810000004</v>
      </c>
      <c r="AA48" s="89">
        <v>2.569</v>
      </c>
      <c r="AB48" s="89">
        <v>1.83</v>
      </c>
      <c r="AC48" s="90">
        <v>70.363</v>
      </c>
      <c r="AD48" s="90">
        <v>2.383</v>
      </c>
      <c r="AE48" s="91">
        <v>44.778549310000002</v>
      </c>
      <c r="AF48" s="91">
        <v>44.994</v>
      </c>
    </row>
    <row r="49" spans="1:32" s="46" customFormat="1" x14ac:dyDescent="0.35">
      <c r="A49" s="46" t="s">
        <v>53</v>
      </c>
      <c r="B49" s="46" t="s">
        <v>19</v>
      </c>
      <c r="C49" s="46">
        <v>2022</v>
      </c>
      <c r="D49" s="46" t="s">
        <v>138</v>
      </c>
      <c r="E49" s="46" t="s">
        <v>21</v>
      </c>
      <c r="F49" s="62" t="s">
        <v>5</v>
      </c>
      <c r="G49" s="63">
        <v>2712.9731749869943</v>
      </c>
      <c r="H49" s="63">
        <v>4642.1033752280973</v>
      </c>
      <c r="I49" s="63">
        <v>6682.8730381273617</v>
      </c>
      <c r="J49" s="63">
        <v>8462.5060560550137</v>
      </c>
      <c r="K49" s="63">
        <v>10252.63260849516</v>
      </c>
      <c r="L49" s="64">
        <v>4</v>
      </c>
      <c r="M49" s="65">
        <v>1.5</v>
      </c>
      <c r="N49" s="66">
        <v>2712.9731749869943</v>
      </c>
      <c r="O49" s="66">
        <v>3094.7355834853984</v>
      </c>
      <c r="P49" s="66">
        <v>4455.2486920849078</v>
      </c>
      <c r="Q49" s="66">
        <v>5641.6707040366755</v>
      </c>
      <c r="R49" s="66">
        <v>6835.0884056634395</v>
      </c>
      <c r="S49" s="67">
        <v>5641.6707040366755</v>
      </c>
      <c r="T49" s="46" t="s">
        <v>150</v>
      </c>
      <c r="U49" s="46" t="s">
        <v>144</v>
      </c>
      <c r="V49" s="110">
        <f t="shared" si="1"/>
        <v>3900</v>
      </c>
      <c r="W49" s="102" t="s">
        <v>154</v>
      </c>
      <c r="X49" s="92">
        <v>7000</v>
      </c>
      <c r="Y49" s="92">
        <v>7460.9164689999998</v>
      </c>
      <c r="AA49" s="89">
        <v>5.4020000000000001</v>
      </c>
      <c r="AB49" s="89">
        <v>3.16</v>
      </c>
      <c r="AC49" s="90">
        <v>68.546000000000006</v>
      </c>
      <c r="AD49" s="90">
        <v>1.57</v>
      </c>
      <c r="AE49" s="91">
        <v>45.34770614</v>
      </c>
      <c r="AF49" s="91">
        <v>46.323</v>
      </c>
    </row>
    <row r="50" spans="1:32" s="46" customFormat="1" x14ac:dyDescent="0.35">
      <c r="A50" s="46" t="s">
        <v>53</v>
      </c>
      <c r="B50" s="46" t="s">
        <v>19</v>
      </c>
      <c r="C50" s="46">
        <v>2023</v>
      </c>
      <c r="D50" s="46" t="s">
        <v>138</v>
      </c>
      <c r="E50" s="46" t="s">
        <v>21</v>
      </c>
      <c r="F50" s="62" t="s">
        <v>5</v>
      </c>
      <c r="G50" s="63">
        <v>2801.2232847858072</v>
      </c>
      <c r="H50" s="63">
        <v>4793.1060229278055</v>
      </c>
      <c r="I50" s="63">
        <v>6900.2597358005132</v>
      </c>
      <c r="J50" s="63">
        <v>8737.7823085095024</v>
      </c>
      <c r="K50" s="63">
        <v>10586.139759162406</v>
      </c>
      <c r="L50" s="64">
        <v>4</v>
      </c>
      <c r="M50" s="65">
        <v>1.5</v>
      </c>
      <c r="N50" s="66">
        <v>2801.2232847858072</v>
      </c>
      <c r="O50" s="66">
        <v>3195.4040152852035</v>
      </c>
      <c r="P50" s="66">
        <v>4600.1731572003418</v>
      </c>
      <c r="Q50" s="66">
        <v>5825.1882056730019</v>
      </c>
      <c r="R50" s="66">
        <v>7057.4265061082706</v>
      </c>
      <c r="S50" s="67">
        <v>5825.1882056730019</v>
      </c>
      <c r="T50" s="46" t="s">
        <v>150</v>
      </c>
      <c r="U50" s="46" t="s">
        <v>144</v>
      </c>
      <c r="V50" s="110">
        <f t="shared" si="1"/>
        <v>3900</v>
      </c>
      <c r="W50" s="102" t="s">
        <v>154</v>
      </c>
      <c r="X50" s="92">
        <v>7300</v>
      </c>
      <c r="Y50" s="92">
        <v>7853.5344690000002</v>
      </c>
      <c r="AA50" s="89">
        <v>5.319</v>
      </c>
      <c r="AB50" s="89">
        <v>3.25</v>
      </c>
      <c r="AC50" s="90">
        <v>67.661000000000001</v>
      </c>
      <c r="AD50" s="90">
        <v>1.645</v>
      </c>
      <c r="AE50" s="91">
        <v>45.715681859999997</v>
      </c>
      <c r="AF50" s="91">
        <v>48.076000000000001</v>
      </c>
    </row>
    <row r="51" spans="1:32" s="46" customFormat="1" x14ac:dyDescent="0.35">
      <c r="A51" s="46" t="s">
        <v>53</v>
      </c>
      <c r="B51" s="46" t="s">
        <v>19</v>
      </c>
      <c r="C51" s="46">
        <v>2024</v>
      </c>
      <c r="D51" s="46" t="s">
        <v>138</v>
      </c>
      <c r="E51" s="46" t="s">
        <v>21</v>
      </c>
      <c r="F51" s="62" t="s">
        <v>5</v>
      </c>
      <c r="G51" s="63">
        <v>2902.6581777503975</v>
      </c>
      <c r="H51" s="63">
        <v>4966.66883708983</v>
      </c>
      <c r="I51" s="63">
        <v>7150.1245400559574</v>
      </c>
      <c r="J51" s="63">
        <v>9054.1855092201949</v>
      </c>
      <c r="K51" s="63">
        <v>10969.473697306841</v>
      </c>
      <c r="L51" s="64">
        <v>4</v>
      </c>
      <c r="M51" s="65">
        <v>1.5</v>
      </c>
      <c r="N51" s="66">
        <v>2902.6581777503975</v>
      </c>
      <c r="O51" s="66">
        <v>3311.1125580598869</v>
      </c>
      <c r="P51" s="66">
        <v>4766.7496933706379</v>
      </c>
      <c r="Q51" s="66">
        <v>6036.1236728134636</v>
      </c>
      <c r="R51" s="66">
        <v>7312.9824648712274</v>
      </c>
      <c r="S51" s="67">
        <v>6036.1236728134636</v>
      </c>
      <c r="T51" s="46" t="s">
        <v>150</v>
      </c>
      <c r="U51" s="46" t="s">
        <v>144</v>
      </c>
      <c r="V51" s="110">
        <f t="shared" si="1"/>
        <v>4135</v>
      </c>
      <c r="W51" s="102" t="s">
        <v>154</v>
      </c>
      <c r="X51" s="92">
        <v>8000</v>
      </c>
      <c r="Y51" s="92">
        <v>8579.5623660000001</v>
      </c>
      <c r="AA51" s="89">
        <v>6.4359999999999999</v>
      </c>
      <c r="AB51" s="89">
        <v>3.62</v>
      </c>
      <c r="AC51" s="90">
        <v>67.031999999999996</v>
      </c>
      <c r="AD51" s="90">
        <v>1.5289999999999999</v>
      </c>
      <c r="AE51" s="91">
        <v>46.188454350000001</v>
      </c>
      <c r="AF51" s="91">
        <v>47.033000000000001</v>
      </c>
    </row>
    <row r="52" spans="1:32" s="46" customFormat="1" x14ac:dyDescent="0.35">
      <c r="A52" s="46" t="s">
        <v>53</v>
      </c>
      <c r="B52" s="46" t="s">
        <v>19</v>
      </c>
      <c r="C52" s="46">
        <v>2025</v>
      </c>
      <c r="D52" s="46" t="s">
        <v>138</v>
      </c>
      <c r="E52" s="46" t="s">
        <v>21</v>
      </c>
      <c r="F52" s="62" t="s">
        <v>5</v>
      </c>
      <c r="G52" s="63">
        <v>2998.7361634339354</v>
      </c>
      <c r="H52" s="63">
        <v>5131.0655755975031</v>
      </c>
      <c r="I52" s="63">
        <v>7386.7936623318092</v>
      </c>
      <c r="J52" s="63">
        <v>9353.8790495753819</v>
      </c>
      <c r="K52" s="63">
        <v>11332.563276687697</v>
      </c>
      <c r="L52" s="64">
        <v>4</v>
      </c>
      <c r="M52" s="65">
        <v>1.5</v>
      </c>
      <c r="N52" s="66">
        <v>2998.7361634339354</v>
      </c>
      <c r="O52" s="66">
        <v>3420.7103837316686</v>
      </c>
      <c r="P52" s="66">
        <v>4924.5291082212061</v>
      </c>
      <c r="Q52" s="66">
        <v>6235.9193663835877</v>
      </c>
      <c r="R52" s="66">
        <v>7555.0421844584644</v>
      </c>
      <c r="S52" s="67">
        <v>6235.9193663835877</v>
      </c>
      <c r="T52" s="46" t="s">
        <v>150</v>
      </c>
      <c r="U52" s="46" t="s">
        <v>144</v>
      </c>
      <c r="V52" s="110">
        <f t="shared" ref="V52" si="2">MEDIAN(V64,V76,V88,V100)</f>
        <v>4135</v>
      </c>
      <c r="W52" s="102" t="s">
        <v>154</v>
      </c>
      <c r="X52" s="92" t="s">
        <v>147</v>
      </c>
      <c r="Y52" s="92" t="s">
        <v>147</v>
      </c>
      <c r="AA52" s="89">
        <v>5.742</v>
      </c>
      <c r="AB52" s="91" t="s">
        <v>147</v>
      </c>
      <c r="AC52" s="90" t="s">
        <v>147</v>
      </c>
      <c r="AD52" s="90" t="s">
        <v>147</v>
      </c>
      <c r="AE52" s="91">
        <v>46.653214550000001</v>
      </c>
      <c r="AF52" s="91">
        <v>47.32</v>
      </c>
    </row>
    <row r="53" spans="1:32" ht="15.5" x14ac:dyDescent="0.35">
      <c r="A53" t="s">
        <v>53</v>
      </c>
      <c r="B53" t="s">
        <v>19</v>
      </c>
      <c r="C53">
        <v>2018</v>
      </c>
      <c r="D53" t="s">
        <v>60</v>
      </c>
      <c r="E53" t="s">
        <v>22</v>
      </c>
      <c r="F53" s="2" t="s">
        <v>5</v>
      </c>
      <c r="G53" s="15">
        <v>3688.2952178097339</v>
      </c>
      <c r="H53" s="15">
        <v>6328.244473732424</v>
      </c>
      <c r="I53" s="15">
        <v>9077.4393683233902</v>
      </c>
      <c r="J53" s="15">
        <v>11534</v>
      </c>
      <c r="K53" s="15">
        <v>14059.797447468678</v>
      </c>
      <c r="L53" s="18">
        <v>4</v>
      </c>
      <c r="M53" s="19">
        <v>1.5</v>
      </c>
      <c r="N53" s="43">
        <v>3688.2952178097339</v>
      </c>
      <c r="O53" s="43">
        <v>4218.829649154949</v>
      </c>
      <c r="P53" s="43">
        <v>6051.6262455489268</v>
      </c>
      <c r="Q53" s="43">
        <v>7689.333333333333</v>
      </c>
      <c r="R53" s="43">
        <v>9373.1982983124526</v>
      </c>
      <c r="S53" s="41">
        <v>7689.333333333333</v>
      </c>
      <c r="T53" t="s">
        <v>150</v>
      </c>
      <c r="U53" s="25" t="s">
        <v>144</v>
      </c>
      <c r="V53" s="112">
        <v>3980</v>
      </c>
      <c r="W53" s="97"/>
      <c r="AA53" s="89"/>
      <c r="AB53" s="89"/>
      <c r="AC53" s="90"/>
      <c r="AD53" s="90"/>
      <c r="AE53" s="91"/>
      <c r="AF53" s="91"/>
    </row>
    <row r="54" spans="1:32" x14ac:dyDescent="0.35">
      <c r="A54" t="s">
        <v>53</v>
      </c>
      <c r="B54" t="s">
        <v>19</v>
      </c>
      <c r="C54">
        <v>2018</v>
      </c>
      <c r="D54" t="s">
        <v>60</v>
      </c>
      <c r="E54" t="s">
        <v>22</v>
      </c>
      <c r="F54" s="3" t="s">
        <v>6</v>
      </c>
      <c r="G54" s="15">
        <v>1383.635076</v>
      </c>
      <c r="H54" s="15">
        <v>2353.242260938368</v>
      </c>
      <c r="I54" s="15">
        <v>3576.8336513325239</v>
      </c>
      <c r="J54" s="15">
        <v>4667</v>
      </c>
      <c r="K54" s="15">
        <v>5578.7502119483524</v>
      </c>
      <c r="L54" s="18">
        <v>4</v>
      </c>
      <c r="M54" s="19">
        <v>1.5</v>
      </c>
      <c r="N54" s="43">
        <v>3688.2952178097339</v>
      </c>
      <c r="O54" s="43">
        <v>4218.829649154949</v>
      </c>
      <c r="P54" s="43">
        <v>6051.6262455489268</v>
      </c>
      <c r="Q54" s="43">
        <v>7689.333333333333</v>
      </c>
      <c r="R54" s="43">
        <v>9373.1982983124526</v>
      </c>
      <c r="S54" s="41">
        <v>7689.333333333333</v>
      </c>
      <c r="T54" t="s">
        <v>150</v>
      </c>
      <c r="U54" s="25" t="s">
        <v>144</v>
      </c>
      <c r="V54" s="112">
        <v>3980</v>
      </c>
      <c r="W54" s="104"/>
      <c r="AA54" s="89"/>
      <c r="AB54" s="89"/>
      <c r="AC54" s="90"/>
      <c r="AD54" s="90"/>
      <c r="AE54" s="91"/>
      <c r="AF54" s="91"/>
    </row>
    <row r="55" spans="1:32" x14ac:dyDescent="0.35">
      <c r="A55" t="s">
        <v>53</v>
      </c>
      <c r="B55" t="s">
        <v>19</v>
      </c>
      <c r="C55">
        <v>2018</v>
      </c>
      <c r="D55" t="s">
        <v>60</v>
      </c>
      <c r="E55" t="s">
        <v>22</v>
      </c>
      <c r="F55" s="3" t="s">
        <v>7</v>
      </c>
      <c r="G55" s="15">
        <v>800.86277980973387</v>
      </c>
      <c r="H55" s="15">
        <v>1351.0178689883699</v>
      </c>
      <c r="I55" s="15">
        <v>1843.9665289424167</v>
      </c>
      <c r="J55" s="15">
        <v>2274</v>
      </c>
      <c r="K55" s="15">
        <v>2801.8945171284358</v>
      </c>
      <c r="L55" s="18">
        <v>4</v>
      </c>
      <c r="M55" s="19">
        <v>1.5</v>
      </c>
      <c r="N55" s="43">
        <v>3688.2952178097339</v>
      </c>
      <c r="O55" s="43">
        <v>4218.829649154949</v>
      </c>
      <c r="P55" s="43">
        <v>6051.6262455489268</v>
      </c>
      <c r="Q55" s="43">
        <v>7689.333333333333</v>
      </c>
      <c r="R55" s="43">
        <v>9373.1982983124526</v>
      </c>
      <c r="S55" s="41">
        <v>7689.333333333333</v>
      </c>
      <c r="T55" t="s">
        <v>150</v>
      </c>
      <c r="U55" s="25" t="s">
        <v>144</v>
      </c>
      <c r="V55" s="112">
        <v>3980</v>
      </c>
      <c r="W55" s="104"/>
      <c r="AA55" s="89"/>
      <c r="AB55" s="89"/>
      <c r="AC55" s="90"/>
      <c r="AD55" s="90"/>
      <c r="AE55" s="91"/>
      <c r="AF55" s="91"/>
    </row>
    <row r="56" spans="1:32" x14ac:dyDescent="0.35">
      <c r="A56" t="s">
        <v>53</v>
      </c>
      <c r="B56" t="s">
        <v>19</v>
      </c>
      <c r="C56">
        <v>2018</v>
      </c>
      <c r="D56" t="s">
        <v>60</v>
      </c>
      <c r="E56" t="s">
        <v>22</v>
      </c>
      <c r="F56" s="3" t="s">
        <v>8</v>
      </c>
      <c r="G56" s="15">
        <v>278.38909999999998</v>
      </c>
      <c r="H56" s="15">
        <v>556.77819999999997</v>
      </c>
      <c r="I56" s="15">
        <v>835.16729999999995</v>
      </c>
      <c r="J56" s="15">
        <v>1114</v>
      </c>
      <c r="K56" s="15">
        <v>1391.9454999999998</v>
      </c>
      <c r="L56" s="18">
        <v>4</v>
      </c>
      <c r="M56" s="19">
        <v>1.5</v>
      </c>
      <c r="N56" s="43">
        <v>3688.2952178097339</v>
      </c>
      <c r="O56" s="43">
        <v>4218.829649154949</v>
      </c>
      <c r="P56" s="43">
        <v>6051.6262455489268</v>
      </c>
      <c r="Q56" s="43">
        <v>7689.333333333333</v>
      </c>
      <c r="R56" s="43">
        <v>9373.1982983124526</v>
      </c>
      <c r="S56" s="41">
        <v>7689.333333333333</v>
      </c>
      <c r="T56" t="s">
        <v>150</v>
      </c>
      <c r="U56" s="25" t="s">
        <v>144</v>
      </c>
      <c r="V56" s="112">
        <v>3980</v>
      </c>
      <c r="W56" s="104"/>
      <c r="AA56" s="89"/>
      <c r="AB56" s="89"/>
      <c r="AC56" s="90"/>
      <c r="AD56" s="90"/>
      <c r="AE56" s="91"/>
      <c r="AF56" s="91"/>
    </row>
    <row r="57" spans="1:32" x14ac:dyDescent="0.35">
      <c r="A57" t="s">
        <v>53</v>
      </c>
      <c r="B57" t="s">
        <v>19</v>
      </c>
      <c r="C57">
        <v>2018</v>
      </c>
      <c r="D57" t="s">
        <v>60</v>
      </c>
      <c r="E57" t="s">
        <v>22</v>
      </c>
      <c r="F57" s="3" t="s">
        <v>9</v>
      </c>
      <c r="G57" s="15">
        <v>1225.4082620000001</v>
      </c>
      <c r="H57" s="15">
        <v>2067.2061438056862</v>
      </c>
      <c r="I57" s="15">
        <v>2821.4718880484502</v>
      </c>
      <c r="J57" s="15">
        <v>3479</v>
      </c>
      <c r="K57" s="15">
        <v>4287.2072183918908</v>
      </c>
      <c r="L57" s="18">
        <v>4</v>
      </c>
      <c r="M57" s="19">
        <v>1.5</v>
      </c>
      <c r="N57" s="43">
        <v>3688.2952178097339</v>
      </c>
      <c r="O57" s="43">
        <v>4218.829649154949</v>
      </c>
      <c r="P57" s="43">
        <v>6051.6262455489268</v>
      </c>
      <c r="Q57" s="43">
        <v>7689.333333333333</v>
      </c>
      <c r="R57" s="43">
        <v>9373.1982983124526</v>
      </c>
      <c r="S57" s="41">
        <v>7689.333333333333</v>
      </c>
      <c r="T57" t="s">
        <v>150</v>
      </c>
      <c r="U57" s="25" t="s">
        <v>144</v>
      </c>
      <c r="V57" s="112">
        <v>3980</v>
      </c>
      <c r="W57" s="104"/>
      <c r="AA57" s="89"/>
      <c r="AB57" s="89"/>
      <c r="AC57" s="90"/>
      <c r="AD57" s="90"/>
      <c r="AE57" s="91"/>
      <c r="AF57" s="91"/>
    </row>
    <row r="58" spans="1:32" s="46" customFormat="1" x14ac:dyDescent="0.35">
      <c r="A58" s="46" t="s">
        <v>53</v>
      </c>
      <c r="B58" s="46" t="s">
        <v>19</v>
      </c>
      <c r="C58" s="46">
        <v>2019</v>
      </c>
      <c r="D58" s="46" t="s">
        <v>138</v>
      </c>
      <c r="E58" s="46" t="s">
        <v>22</v>
      </c>
      <c r="F58" s="62" t="s">
        <v>5</v>
      </c>
      <c r="G58" s="63">
        <v>3791.4134486955395</v>
      </c>
      <c r="H58" s="63">
        <v>6505.1710309106966</v>
      </c>
      <c r="I58" s="63">
        <v>9331.2285672234011</v>
      </c>
      <c r="J58" s="63">
        <v>11856.470302619424</v>
      </c>
      <c r="K58" s="63">
        <v>14452.884593094916</v>
      </c>
      <c r="L58" s="18">
        <v>4</v>
      </c>
      <c r="M58" s="65">
        <v>1.5</v>
      </c>
      <c r="N58" s="66">
        <v>3791.4134486955395</v>
      </c>
      <c r="O58" s="66">
        <v>4336.7806872737974</v>
      </c>
      <c r="P58" s="66">
        <v>6220.819044815601</v>
      </c>
      <c r="Q58" s="66">
        <v>7904.3135350796156</v>
      </c>
      <c r="R58" s="66">
        <v>9635.256395396611</v>
      </c>
      <c r="S58" s="67">
        <v>7904.3135350796156</v>
      </c>
      <c r="T58" s="46" t="s">
        <v>150</v>
      </c>
      <c r="U58" s="46" t="s">
        <v>144</v>
      </c>
      <c r="V58" s="113">
        <v>4180</v>
      </c>
      <c r="W58" s="103"/>
      <c r="X58" s="92"/>
      <c r="Y58" s="92"/>
      <c r="AA58" s="89"/>
      <c r="AB58" s="89"/>
      <c r="AC58" s="90"/>
      <c r="AD58" s="90"/>
      <c r="AE58" s="91"/>
      <c r="AF58" s="91"/>
    </row>
    <row r="59" spans="1:32" s="46" customFormat="1" x14ac:dyDescent="0.35">
      <c r="A59" s="46" t="s">
        <v>53</v>
      </c>
      <c r="B59" s="46" t="s">
        <v>19</v>
      </c>
      <c r="C59" s="46">
        <v>2020</v>
      </c>
      <c r="D59" s="46" t="s">
        <v>138</v>
      </c>
      <c r="E59" s="46" t="s">
        <v>22</v>
      </c>
      <c r="F59" s="62" t="s">
        <v>5</v>
      </c>
      <c r="G59" s="63">
        <v>3913.5323874416299</v>
      </c>
      <c r="H59" s="63">
        <v>6714.6983202465362</v>
      </c>
      <c r="I59" s="63">
        <v>9631.7813149641097</v>
      </c>
      <c r="J59" s="63">
        <v>12238.359429253338</v>
      </c>
      <c r="K59" s="63">
        <v>14918.402519908126</v>
      </c>
      <c r="L59" s="18">
        <v>4</v>
      </c>
      <c r="M59" s="65">
        <v>1.5</v>
      </c>
      <c r="N59" s="66">
        <v>3913.5323874416299</v>
      </c>
      <c r="O59" s="66">
        <v>4476.4655468310239</v>
      </c>
      <c r="P59" s="66">
        <v>6421.1875433094065</v>
      </c>
      <c r="Q59" s="66">
        <v>8158.9062861688917</v>
      </c>
      <c r="R59" s="66">
        <v>9945.6016799387507</v>
      </c>
      <c r="S59" s="67">
        <v>8158.9062861688917</v>
      </c>
      <c r="T59" s="46" t="s">
        <v>150</v>
      </c>
      <c r="U59" s="46" t="s">
        <v>144</v>
      </c>
      <c r="V59" s="113">
        <v>4420</v>
      </c>
      <c r="W59" s="103"/>
      <c r="X59" s="92"/>
      <c r="Y59" s="92"/>
      <c r="AA59" s="89"/>
      <c r="AB59" s="89"/>
      <c r="AC59" s="90"/>
      <c r="AD59" s="90"/>
      <c r="AE59" s="91"/>
      <c r="AF59" s="91"/>
    </row>
    <row r="60" spans="1:32" s="46" customFormat="1" x14ac:dyDescent="0.35">
      <c r="A60" s="46" t="s">
        <v>53</v>
      </c>
      <c r="B60" s="46" t="s">
        <v>19</v>
      </c>
      <c r="C60" s="46">
        <v>2021</v>
      </c>
      <c r="D60" s="46" t="s">
        <v>138</v>
      </c>
      <c r="E60" s="46" t="s">
        <v>22</v>
      </c>
      <c r="F60" s="62" t="s">
        <v>5</v>
      </c>
      <c r="G60" s="63">
        <v>3985.3345746341242</v>
      </c>
      <c r="H60" s="63">
        <v>6837.8939343364073</v>
      </c>
      <c r="I60" s="63">
        <v>9808.4971043091737</v>
      </c>
      <c r="J60" s="63">
        <v>12462.898512534755</v>
      </c>
      <c r="K60" s="63">
        <v>15192.112770469685</v>
      </c>
      <c r="L60" s="18">
        <v>4</v>
      </c>
      <c r="M60" s="65">
        <v>1.5</v>
      </c>
      <c r="N60" s="66">
        <v>3985.3345746341242</v>
      </c>
      <c r="O60" s="66">
        <v>4558.5959562242715</v>
      </c>
      <c r="P60" s="66">
        <v>6538.9980695394488</v>
      </c>
      <c r="Q60" s="66">
        <v>8308.599008356503</v>
      </c>
      <c r="R60" s="66">
        <v>10128.075180313122</v>
      </c>
      <c r="S60" s="67">
        <v>8308.599008356503</v>
      </c>
      <c r="T60" s="46" t="s">
        <v>150</v>
      </c>
      <c r="U60" s="46" t="s">
        <v>144</v>
      </c>
      <c r="V60" s="113">
        <v>4420</v>
      </c>
      <c r="W60" s="103"/>
      <c r="X60" s="92"/>
      <c r="Y60" s="92"/>
      <c r="AA60" s="89"/>
      <c r="AB60" s="89"/>
      <c r="AC60" s="90"/>
      <c r="AD60" s="90"/>
      <c r="AE60" s="91"/>
      <c r="AF60" s="91"/>
    </row>
    <row r="61" spans="1:32" s="46" customFormat="1" x14ac:dyDescent="0.35">
      <c r="A61" s="46" t="s">
        <v>53</v>
      </c>
      <c r="B61" s="46" t="s">
        <v>19</v>
      </c>
      <c r="C61" s="46">
        <v>2022</v>
      </c>
      <c r="D61" s="46" t="s">
        <v>138</v>
      </c>
      <c r="E61" s="46" t="s">
        <v>22</v>
      </c>
      <c r="F61" s="62" t="s">
        <v>5</v>
      </c>
      <c r="G61" s="63">
        <v>4111.13195936785</v>
      </c>
      <c r="H61" s="63">
        <v>7053.7325691905698</v>
      </c>
      <c r="I61" s="63">
        <v>10118.103051007811</v>
      </c>
      <c r="J61" s="63">
        <v>12856.290838754352</v>
      </c>
      <c r="K61" s="63">
        <v>15671.652949422005</v>
      </c>
      <c r="L61" s="18">
        <v>4</v>
      </c>
      <c r="M61" s="65">
        <v>1.5</v>
      </c>
      <c r="N61" s="66">
        <v>4111.13195936785</v>
      </c>
      <c r="O61" s="66">
        <v>4702.4883794603802</v>
      </c>
      <c r="P61" s="66">
        <v>6745.4020340052075</v>
      </c>
      <c r="Q61" s="66">
        <v>8570.8605591695687</v>
      </c>
      <c r="R61" s="66">
        <v>10447.768632948004</v>
      </c>
      <c r="S61" s="67">
        <v>8570.8605591695687</v>
      </c>
      <c r="T61" s="46" t="s">
        <v>150</v>
      </c>
      <c r="U61" s="46" t="s">
        <v>144</v>
      </c>
      <c r="V61" s="113">
        <v>4680</v>
      </c>
      <c r="W61" s="103"/>
      <c r="X61" s="92"/>
      <c r="Y61" s="92"/>
      <c r="AA61" s="89"/>
      <c r="AB61" s="89"/>
      <c r="AC61" s="90"/>
      <c r="AD61" s="90"/>
      <c r="AE61" s="91"/>
      <c r="AF61" s="91"/>
    </row>
    <row r="62" spans="1:32" s="46" customFormat="1" x14ac:dyDescent="0.35">
      <c r="A62" s="46" t="s">
        <v>53</v>
      </c>
      <c r="B62" s="46" t="s">
        <v>19</v>
      </c>
      <c r="C62" s="46">
        <v>2023</v>
      </c>
      <c r="D62" s="46" t="s">
        <v>138</v>
      </c>
      <c r="E62" s="46" t="s">
        <v>22</v>
      </c>
      <c r="F62" s="62" t="s">
        <v>5</v>
      </c>
      <c r="G62" s="63">
        <v>4244.862675969337</v>
      </c>
      <c r="H62" s="63">
        <v>7283.1829299467227</v>
      </c>
      <c r="I62" s="63">
        <v>10447.234099349793</v>
      </c>
      <c r="J62" s="63">
        <v>13274.492201224877</v>
      </c>
      <c r="K62" s="63">
        <v>16181.435024035409</v>
      </c>
      <c r="L62" s="18">
        <v>4</v>
      </c>
      <c r="M62" s="65">
        <v>1.5</v>
      </c>
      <c r="N62" s="66">
        <v>4244.862675969337</v>
      </c>
      <c r="O62" s="66">
        <v>4855.4552866311487</v>
      </c>
      <c r="P62" s="66">
        <v>6964.8227328998619</v>
      </c>
      <c r="Q62" s="66">
        <v>8849.6614674832508</v>
      </c>
      <c r="R62" s="66">
        <v>10787.62334935694</v>
      </c>
      <c r="S62" s="67">
        <v>8849.6614674832508</v>
      </c>
      <c r="T62" s="46" t="s">
        <v>150</v>
      </c>
      <c r="U62" s="46" t="s">
        <v>144</v>
      </c>
      <c r="V62" s="113">
        <v>4680</v>
      </c>
      <c r="W62" s="103"/>
      <c r="X62" s="92"/>
      <c r="Y62" s="92"/>
      <c r="AA62" s="89"/>
      <c r="AB62" s="89"/>
      <c r="AC62" s="90"/>
      <c r="AD62" s="90"/>
      <c r="AE62" s="91"/>
      <c r="AF62" s="91"/>
    </row>
    <row r="63" spans="1:32" s="46" customFormat="1" x14ac:dyDescent="0.35">
      <c r="A63" s="46" t="s">
        <v>53</v>
      </c>
      <c r="B63" s="46" t="s">
        <v>19</v>
      </c>
      <c r="C63" s="46">
        <v>2024</v>
      </c>
      <c r="D63" s="46" t="s">
        <v>138</v>
      </c>
      <c r="E63" s="46" t="s">
        <v>22</v>
      </c>
      <c r="F63" s="62" t="s">
        <v>5</v>
      </c>
      <c r="G63" s="63">
        <v>4398.5730901033739</v>
      </c>
      <c r="H63" s="63">
        <v>7546.9137381807996</v>
      </c>
      <c r="I63" s="63">
        <v>10825.538134732889</v>
      </c>
      <c r="J63" s="63">
        <v>13755.173874443759</v>
      </c>
      <c r="K63" s="63">
        <v>16767.379792733849</v>
      </c>
      <c r="L63" s="18">
        <v>4</v>
      </c>
      <c r="M63" s="65">
        <v>1.5</v>
      </c>
      <c r="N63" s="66">
        <v>4398.5730901033739</v>
      </c>
      <c r="O63" s="66">
        <v>5031.2758254538667</v>
      </c>
      <c r="P63" s="66">
        <v>7217.0254231552599</v>
      </c>
      <c r="Q63" s="66">
        <v>9170.1159162958393</v>
      </c>
      <c r="R63" s="66">
        <v>11178.253195155899</v>
      </c>
      <c r="S63" s="67">
        <v>9170.1159162958393</v>
      </c>
      <c r="T63" s="46" t="s">
        <v>150</v>
      </c>
      <c r="U63" s="46" t="s">
        <v>144</v>
      </c>
      <c r="V63" s="113">
        <v>4960</v>
      </c>
      <c r="W63" s="103"/>
      <c r="X63" s="92"/>
      <c r="Y63" s="92"/>
      <c r="AA63" s="89"/>
      <c r="AB63" s="89"/>
      <c r="AC63" s="90"/>
      <c r="AD63" s="90"/>
      <c r="AE63" s="91"/>
      <c r="AF63" s="91"/>
    </row>
    <row r="64" spans="1:32" s="46" customFormat="1" x14ac:dyDescent="0.35">
      <c r="A64" s="46" t="s">
        <v>53</v>
      </c>
      <c r="B64" s="46" t="s">
        <v>19</v>
      </c>
      <c r="C64" s="46">
        <v>2025</v>
      </c>
      <c r="D64" s="46" t="s">
        <v>138</v>
      </c>
      <c r="E64" s="46" t="s">
        <v>22</v>
      </c>
      <c r="F64" s="62" t="s">
        <v>5</v>
      </c>
      <c r="G64" s="63">
        <v>4544.1658593857956</v>
      </c>
      <c r="H64" s="63">
        <v>7796.7165829145833</v>
      </c>
      <c r="I64" s="63">
        <v>11183.863446992547</v>
      </c>
      <c r="J64" s="63">
        <v>14210.470129687847</v>
      </c>
      <c r="K64" s="63">
        <v>17322.380063873337</v>
      </c>
      <c r="L64" s="18">
        <v>4</v>
      </c>
      <c r="M64" s="65">
        <v>1.5</v>
      </c>
      <c r="N64" s="66">
        <v>4544.1658593857956</v>
      </c>
      <c r="O64" s="66">
        <v>5197.8110552763892</v>
      </c>
      <c r="P64" s="66">
        <v>7455.9089646616985</v>
      </c>
      <c r="Q64" s="66">
        <v>9473.646753125231</v>
      </c>
      <c r="R64" s="66">
        <v>11548.253375915558</v>
      </c>
      <c r="S64" s="67">
        <v>9473.646753125231</v>
      </c>
      <c r="T64" s="46" t="s">
        <v>150</v>
      </c>
      <c r="U64" s="46" t="s">
        <v>144</v>
      </c>
      <c r="V64" s="113">
        <v>4960</v>
      </c>
      <c r="W64" s="103"/>
      <c r="X64" s="92"/>
      <c r="Y64" s="92"/>
      <c r="AA64" s="89"/>
      <c r="AB64" s="91"/>
      <c r="AC64" s="90"/>
      <c r="AD64" s="90"/>
      <c r="AE64" s="91"/>
      <c r="AF64" s="91"/>
    </row>
    <row r="65" spans="1:32" ht="15.5" x14ac:dyDescent="0.35">
      <c r="A65" t="s">
        <v>53</v>
      </c>
      <c r="B65" t="s">
        <v>19</v>
      </c>
      <c r="C65">
        <v>2018</v>
      </c>
      <c r="D65" t="s">
        <v>60</v>
      </c>
      <c r="E65" t="s">
        <v>25</v>
      </c>
      <c r="F65" s="2" t="s">
        <v>5</v>
      </c>
      <c r="G65" s="15">
        <v>3050.1674800736696</v>
      </c>
      <c r="H65" s="15">
        <v>5199.9551656618232</v>
      </c>
      <c r="I65" s="15">
        <v>7555.3117732693063</v>
      </c>
      <c r="J65" s="15">
        <v>9525</v>
      </c>
      <c r="K65" s="15">
        <v>11549.843144404302</v>
      </c>
      <c r="L65" s="18">
        <v>4</v>
      </c>
      <c r="M65" s="19">
        <v>1.5</v>
      </c>
      <c r="N65" s="43">
        <v>3050.1674800736696</v>
      </c>
      <c r="O65" s="43">
        <v>3466.6367771078822</v>
      </c>
      <c r="P65" s="43">
        <v>5036.8745155128709</v>
      </c>
      <c r="Q65" s="43">
        <v>6350</v>
      </c>
      <c r="R65" s="43">
        <v>7699.8954296028678</v>
      </c>
      <c r="S65" s="41">
        <v>6350</v>
      </c>
      <c r="T65" t="s">
        <v>150</v>
      </c>
      <c r="U65" s="25" t="s">
        <v>144</v>
      </c>
      <c r="V65" s="112">
        <v>3530</v>
      </c>
      <c r="W65" s="97"/>
      <c r="AA65" s="89"/>
      <c r="AB65" s="89"/>
      <c r="AC65" s="90"/>
      <c r="AD65" s="90"/>
      <c r="AE65" s="91"/>
      <c r="AF65" s="91"/>
    </row>
    <row r="66" spans="1:32" x14ac:dyDescent="0.35">
      <c r="A66" t="s">
        <v>53</v>
      </c>
      <c r="B66" t="s">
        <v>19</v>
      </c>
      <c r="C66">
        <v>2018</v>
      </c>
      <c r="D66" t="s">
        <v>60</v>
      </c>
      <c r="E66" t="s">
        <v>25</v>
      </c>
      <c r="F66" s="3" t="s">
        <v>6</v>
      </c>
      <c r="G66" s="15">
        <v>1251.6350969999999</v>
      </c>
      <c r="H66" s="15">
        <v>2120.2823706689696</v>
      </c>
      <c r="I66" s="15">
        <v>3283.2140883445795</v>
      </c>
      <c r="J66" s="15">
        <v>4229</v>
      </c>
      <c r="K66" s="15">
        <v>5054.8109471509015</v>
      </c>
      <c r="L66" s="18">
        <v>4</v>
      </c>
      <c r="M66" s="19">
        <v>1.5</v>
      </c>
      <c r="N66" s="43">
        <v>3050.1674800736696</v>
      </c>
      <c r="O66" s="43">
        <v>3466.6367771078822</v>
      </c>
      <c r="P66" s="43">
        <v>5036.8745155128709</v>
      </c>
      <c r="Q66" s="43">
        <v>6350</v>
      </c>
      <c r="R66" s="43">
        <v>7699.8954296028678</v>
      </c>
      <c r="S66" s="41">
        <v>6350</v>
      </c>
      <c r="T66" t="s">
        <v>150</v>
      </c>
      <c r="U66" s="25" t="s">
        <v>144</v>
      </c>
      <c r="V66" s="112">
        <v>3530</v>
      </c>
      <c r="W66" s="104"/>
      <c r="AA66" s="89"/>
      <c r="AB66" s="89"/>
      <c r="AC66" s="90"/>
      <c r="AD66" s="90"/>
      <c r="AE66" s="91"/>
      <c r="AF66" s="91"/>
    </row>
    <row r="67" spans="1:32" x14ac:dyDescent="0.35">
      <c r="A67" t="s">
        <v>53</v>
      </c>
      <c r="B67" t="s">
        <v>19</v>
      </c>
      <c r="C67">
        <v>2018</v>
      </c>
      <c r="D67" t="s">
        <v>60</v>
      </c>
      <c r="E67" t="s">
        <v>25</v>
      </c>
      <c r="F67" s="3" t="s">
        <v>7</v>
      </c>
      <c r="G67" s="15">
        <v>693.23619407366971</v>
      </c>
      <c r="H67" s="15">
        <v>1167.0478815267534</v>
      </c>
      <c r="I67" s="15">
        <v>1603.2355610188765</v>
      </c>
      <c r="J67" s="15">
        <v>1968</v>
      </c>
      <c r="K67" s="15">
        <v>2406.94310203535</v>
      </c>
      <c r="L67" s="18">
        <v>4</v>
      </c>
      <c r="M67" s="19">
        <v>1.5</v>
      </c>
      <c r="N67" s="43">
        <v>3050.1674800736696</v>
      </c>
      <c r="O67" s="43">
        <v>3466.6367771078822</v>
      </c>
      <c r="P67" s="43">
        <v>5036.8745155128709</v>
      </c>
      <c r="Q67" s="43">
        <v>6350</v>
      </c>
      <c r="R67" s="43">
        <v>7699.8954296028678</v>
      </c>
      <c r="S67" s="41">
        <v>6350</v>
      </c>
      <c r="T67" t="s">
        <v>150</v>
      </c>
      <c r="U67" s="25" t="s">
        <v>144</v>
      </c>
      <c r="V67" s="112">
        <v>3530</v>
      </c>
      <c r="W67" s="104"/>
      <c r="AA67" s="89"/>
      <c r="AB67" s="89"/>
      <c r="AC67" s="90"/>
      <c r="AD67" s="90"/>
      <c r="AE67" s="91"/>
      <c r="AF67" s="91"/>
    </row>
    <row r="68" spans="1:32" x14ac:dyDescent="0.35">
      <c r="A68" t="s">
        <v>53</v>
      </c>
      <c r="B68" t="s">
        <v>19</v>
      </c>
      <c r="C68">
        <v>2018</v>
      </c>
      <c r="D68" t="s">
        <v>60</v>
      </c>
      <c r="E68" t="s">
        <v>25</v>
      </c>
      <c r="F68" s="3" t="s">
        <v>8</v>
      </c>
      <c r="G68" s="15">
        <v>163.91623900000002</v>
      </c>
      <c r="H68" s="15">
        <v>327.83247800000004</v>
      </c>
      <c r="I68" s="15">
        <v>491.74871700000006</v>
      </c>
      <c r="J68" s="15">
        <v>656</v>
      </c>
      <c r="K68" s="15">
        <v>819.58119500000009</v>
      </c>
      <c r="L68" s="18">
        <v>4</v>
      </c>
      <c r="M68" s="19">
        <v>1.5</v>
      </c>
      <c r="N68" s="43">
        <v>3050.1674800736696</v>
      </c>
      <c r="O68" s="43">
        <v>3466.6367771078822</v>
      </c>
      <c r="P68" s="43">
        <v>5036.8745155128709</v>
      </c>
      <c r="Q68" s="43">
        <v>6350</v>
      </c>
      <c r="R68" s="43">
        <v>7699.8954296028678</v>
      </c>
      <c r="S68" s="41">
        <v>6350</v>
      </c>
      <c r="T68" t="s">
        <v>150</v>
      </c>
      <c r="U68" s="25" t="s">
        <v>144</v>
      </c>
      <c r="V68" s="112">
        <v>3530</v>
      </c>
      <c r="W68" s="104"/>
      <c r="AA68" s="89"/>
      <c r="AB68" s="89"/>
      <c r="AC68" s="90"/>
      <c r="AD68" s="90"/>
      <c r="AE68" s="91"/>
      <c r="AF68" s="91"/>
    </row>
    <row r="69" spans="1:32" x14ac:dyDescent="0.35">
      <c r="A69" t="s">
        <v>53</v>
      </c>
      <c r="B69" t="s">
        <v>19</v>
      </c>
      <c r="C69">
        <v>2018</v>
      </c>
      <c r="D69" t="s">
        <v>60</v>
      </c>
      <c r="E69" t="s">
        <v>25</v>
      </c>
      <c r="F69" s="3" t="s">
        <v>9</v>
      </c>
      <c r="G69" s="15">
        <v>941.37995000000001</v>
      </c>
      <c r="H69" s="15">
        <v>1584.7924354661</v>
      </c>
      <c r="I69" s="15">
        <v>2177.1134069058498</v>
      </c>
      <c r="J69" s="15">
        <v>2672</v>
      </c>
      <c r="K69" s="15">
        <v>3268.5079002180501</v>
      </c>
      <c r="L69" s="18">
        <v>4</v>
      </c>
      <c r="M69" s="19">
        <v>1.5</v>
      </c>
      <c r="N69" s="43">
        <v>3050.1674800736696</v>
      </c>
      <c r="O69" s="43">
        <v>3466.6367771078822</v>
      </c>
      <c r="P69" s="43">
        <v>5036.8745155128709</v>
      </c>
      <c r="Q69" s="43">
        <v>6350</v>
      </c>
      <c r="R69" s="43">
        <v>7699.8954296028678</v>
      </c>
      <c r="S69" s="41">
        <v>6350</v>
      </c>
      <c r="T69" t="s">
        <v>150</v>
      </c>
      <c r="U69" s="25" t="s">
        <v>144</v>
      </c>
      <c r="V69" s="112">
        <v>3530</v>
      </c>
      <c r="W69" s="104"/>
      <c r="AA69" s="89"/>
      <c r="AB69" s="89"/>
      <c r="AC69" s="90"/>
      <c r="AD69" s="90"/>
      <c r="AE69" s="91"/>
      <c r="AF69" s="91"/>
    </row>
    <row r="70" spans="1:32" s="46" customFormat="1" x14ac:dyDescent="0.35">
      <c r="A70" s="46" t="s">
        <v>53</v>
      </c>
      <c r="B70" s="46" t="s">
        <v>19</v>
      </c>
      <c r="C70" s="46">
        <v>2019</v>
      </c>
      <c r="D70" s="46" t="s">
        <v>138</v>
      </c>
      <c r="E70" s="46" t="s">
        <v>25</v>
      </c>
      <c r="F70" s="62" t="s">
        <v>5</v>
      </c>
      <c r="G70" s="63">
        <v>3135.4447845941554</v>
      </c>
      <c r="H70" s="63">
        <v>5345.3367432479517</v>
      </c>
      <c r="I70" s="63">
        <v>7766.5449685103549</v>
      </c>
      <c r="J70" s="63">
        <v>9791.3022049982665</v>
      </c>
      <c r="K70" s="63">
        <v>11872.756393405771</v>
      </c>
      <c r="L70" s="18">
        <v>4</v>
      </c>
      <c r="M70" s="65">
        <v>1.5</v>
      </c>
      <c r="N70" s="66">
        <v>3135.4447845941554</v>
      </c>
      <c r="O70" s="66">
        <v>3563.557828831968</v>
      </c>
      <c r="P70" s="66">
        <v>5177.6966456735699</v>
      </c>
      <c r="Q70" s="66">
        <v>6527.5348033321779</v>
      </c>
      <c r="R70" s="66">
        <v>7915.1709289371802</v>
      </c>
      <c r="S70" s="67">
        <v>6527.5348033321779</v>
      </c>
      <c r="T70" s="46" t="s">
        <v>150</v>
      </c>
      <c r="U70" s="46" t="s">
        <v>144</v>
      </c>
      <c r="V70" s="113">
        <v>3710</v>
      </c>
      <c r="W70" s="103"/>
      <c r="X70" s="92"/>
      <c r="Y70" s="92"/>
      <c r="AA70" s="89"/>
      <c r="AB70" s="89"/>
      <c r="AC70" s="90"/>
      <c r="AD70" s="90"/>
      <c r="AE70" s="91"/>
      <c r="AF70" s="91"/>
    </row>
    <row r="71" spans="1:32" s="46" customFormat="1" x14ac:dyDescent="0.35">
      <c r="A71" s="46" t="s">
        <v>53</v>
      </c>
      <c r="B71" s="46" t="s">
        <v>19</v>
      </c>
      <c r="C71" s="46">
        <v>2020</v>
      </c>
      <c r="D71" s="46" t="s">
        <v>138</v>
      </c>
      <c r="E71" s="46" t="s">
        <v>25</v>
      </c>
      <c r="F71" s="62" t="s">
        <v>5</v>
      </c>
      <c r="G71" s="63">
        <v>3236.4354032045685</v>
      </c>
      <c r="H71" s="63">
        <v>5517.50653141772</v>
      </c>
      <c r="I71" s="63">
        <v>8016.7002844927329</v>
      </c>
      <c r="J71" s="63">
        <v>10106.673622649389</v>
      </c>
      <c r="K71" s="63">
        <v>12255.170084334786</v>
      </c>
      <c r="L71" s="18">
        <v>4</v>
      </c>
      <c r="M71" s="65">
        <v>1.5</v>
      </c>
      <c r="N71" s="66">
        <v>3236.4354032045685</v>
      </c>
      <c r="O71" s="66">
        <v>3678.3376876118132</v>
      </c>
      <c r="P71" s="66">
        <v>5344.4668563284886</v>
      </c>
      <c r="Q71" s="66">
        <v>6737.7824150995921</v>
      </c>
      <c r="R71" s="66">
        <v>8170.1133895565245</v>
      </c>
      <c r="S71" s="67">
        <v>6737.7824150995921</v>
      </c>
      <c r="T71" s="46" t="s">
        <v>150</v>
      </c>
      <c r="U71" s="46" t="s">
        <v>144</v>
      </c>
      <c r="V71" s="113">
        <v>3920</v>
      </c>
      <c r="W71" s="103"/>
      <c r="X71" s="92"/>
      <c r="Y71" s="92"/>
      <c r="AA71" s="89"/>
      <c r="AB71" s="89"/>
      <c r="AC71" s="90"/>
      <c r="AD71" s="90"/>
      <c r="AE71" s="91"/>
      <c r="AF71" s="91"/>
    </row>
    <row r="72" spans="1:32" s="46" customFormat="1" x14ac:dyDescent="0.35">
      <c r="A72" s="46" t="s">
        <v>53</v>
      </c>
      <c r="B72" s="46" t="s">
        <v>19</v>
      </c>
      <c r="C72" s="46">
        <v>2021</v>
      </c>
      <c r="D72" s="46" t="s">
        <v>138</v>
      </c>
      <c r="E72" s="46" t="s">
        <v>25</v>
      </c>
      <c r="F72" s="62" t="s">
        <v>5</v>
      </c>
      <c r="G72" s="63">
        <v>3295.8147867515195</v>
      </c>
      <c r="H72" s="63">
        <v>5618.7370816173188</v>
      </c>
      <c r="I72" s="63">
        <v>8163.7839310572535</v>
      </c>
      <c r="J72" s="63">
        <v>10292.102335000307</v>
      </c>
      <c r="K72" s="63">
        <v>12480.017595318721</v>
      </c>
      <c r="L72" s="18">
        <v>4</v>
      </c>
      <c r="M72" s="65">
        <v>1.5</v>
      </c>
      <c r="N72" s="66">
        <v>3295.8147867515195</v>
      </c>
      <c r="O72" s="66">
        <v>3745.8247210782124</v>
      </c>
      <c r="P72" s="66">
        <v>5442.5226207048354</v>
      </c>
      <c r="Q72" s="66">
        <v>6861.4015566668713</v>
      </c>
      <c r="R72" s="66">
        <v>8320.01173021248</v>
      </c>
      <c r="S72" s="67">
        <v>6861.4015566668713</v>
      </c>
      <c r="T72" s="46" t="s">
        <v>150</v>
      </c>
      <c r="U72" s="46" t="s">
        <v>144</v>
      </c>
      <c r="V72" s="113">
        <v>3920</v>
      </c>
      <c r="W72" s="103"/>
      <c r="X72" s="92"/>
      <c r="Y72" s="92"/>
      <c r="AA72" s="89"/>
      <c r="AB72" s="89"/>
      <c r="AC72" s="90"/>
      <c r="AD72" s="90"/>
      <c r="AE72" s="91"/>
      <c r="AF72" s="91"/>
    </row>
    <row r="73" spans="1:32" s="46" customFormat="1" x14ac:dyDescent="0.35">
      <c r="A73" s="46" t="s">
        <v>53</v>
      </c>
      <c r="B73" s="46" t="s">
        <v>19</v>
      </c>
      <c r="C73" s="46">
        <v>2022</v>
      </c>
      <c r="D73" s="46" t="s">
        <v>138</v>
      </c>
      <c r="E73" s="46" t="s">
        <v>25</v>
      </c>
      <c r="F73" s="62" t="s">
        <v>5</v>
      </c>
      <c r="G73" s="63">
        <v>3399.8474276692887</v>
      </c>
      <c r="H73" s="63">
        <v>5796.0929389831344</v>
      </c>
      <c r="I73" s="63">
        <v>8421.47438309477</v>
      </c>
      <c r="J73" s="63">
        <v>10616.97331707432</v>
      </c>
      <c r="K73" s="63">
        <v>12873.950286670262</v>
      </c>
      <c r="L73" s="18">
        <v>4</v>
      </c>
      <c r="M73" s="65">
        <v>1.5</v>
      </c>
      <c r="N73" s="66">
        <v>3399.8474276692887</v>
      </c>
      <c r="O73" s="66">
        <v>3864.0619593220895</v>
      </c>
      <c r="P73" s="66">
        <v>5614.316255396513</v>
      </c>
      <c r="Q73" s="66">
        <v>7077.9822113828805</v>
      </c>
      <c r="R73" s="66">
        <v>8582.633524446841</v>
      </c>
      <c r="S73" s="67">
        <v>7077.9822113828805</v>
      </c>
      <c r="T73" s="46" t="s">
        <v>150</v>
      </c>
      <c r="U73" s="46" t="s">
        <v>144</v>
      </c>
      <c r="V73" s="113">
        <v>4160</v>
      </c>
      <c r="W73" s="103"/>
      <c r="X73" s="92"/>
      <c r="Y73" s="92"/>
      <c r="AA73" s="89"/>
      <c r="AB73" s="89"/>
      <c r="AC73" s="90"/>
      <c r="AD73" s="90"/>
      <c r="AE73" s="91"/>
      <c r="AF73" s="91"/>
    </row>
    <row r="74" spans="1:32" s="46" customFormat="1" x14ac:dyDescent="0.35">
      <c r="A74" s="46" t="s">
        <v>53</v>
      </c>
      <c r="B74" s="46" t="s">
        <v>19</v>
      </c>
      <c r="C74" s="46">
        <v>2023</v>
      </c>
      <c r="D74" s="46" t="s">
        <v>138</v>
      </c>
      <c r="E74" s="46" t="s">
        <v>25</v>
      </c>
      <c r="F74" s="62" t="s">
        <v>5</v>
      </c>
      <c r="G74" s="63">
        <v>3510.4408207618926</v>
      </c>
      <c r="H74" s="63">
        <v>5984.6336304228271</v>
      </c>
      <c r="I74" s="63">
        <v>8695.4159192028692</v>
      </c>
      <c r="J74" s="63">
        <v>10962.332080515602</v>
      </c>
      <c r="K74" s="63">
        <v>13292.726092055274</v>
      </c>
      <c r="L74" s="18">
        <v>4</v>
      </c>
      <c r="M74" s="65">
        <v>1.5</v>
      </c>
      <c r="N74" s="66">
        <v>3510.4408207618926</v>
      </c>
      <c r="O74" s="66">
        <v>3989.7557536152181</v>
      </c>
      <c r="P74" s="66">
        <v>5796.9439461352458</v>
      </c>
      <c r="Q74" s="66">
        <v>7308.2213870104015</v>
      </c>
      <c r="R74" s="66">
        <v>8861.8173947035157</v>
      </c>
      <c r="S74" s="67">
        <v>7308.2213870104015</v>
      </c>
      <c r="T74" s="46" t="s">
        <v>150</v>
      </c>
      <c r="U74" s="46" t="s">
        <v>144</v>
      </c>
      <c r="V74" s="113">
        <v>4160</v>
      </c>
      <c r="W74" s="103"/>
      <c r="X74" s="92"/>
      <c r="Y74" s="92"/>
      <c r="AA74" s="89"/>
      <c r="AB74" s="89"/>
      <c r="AC74" s="90"/>
      <c r="AD74" s="90"/>
      <c r="AE74" s="91"/>
      <c r="AF74" s="91"/>
    </row>
    <row r="75" spans="1:32" s="46" customFormat="1" x14ac:dyDescent="0.35">
      <c r="A75" s="46" t="s">
        <v>53</v>
      </c>
      <c r="B75" s="46" t="s">
        <v>19</v>
      </c>
      <c r="C75" s="46">
        <v>2024</v>
      </c>
      <c r="D75" s="46" t="s">
        <v>138</v>
      </c>
      <c r="E75" s="46" t="s">
        <v>25</v>
      </c>
      <c r="F75" s="62" t="s">
        <v>5</v>
      </c>
      <c r="G75" s="63">
        <v>3637.5571384244236</v>
      </c>
      <c r="H75" s="63">
        <v>6201.3427642613469</v>
      </c>
      <c r="I75" s="63">
        <v>9010.2849936666644</v>
      </c>
      <c r="J75" s="63">
        <v>11359.288291492699</v>
      </c>
      <c r="K75" s="63">
        <v>13774.068031371027</v>
      </c>
      <c r="L75" s="18">
        <v>4</v>
      </c>
      <c r="M75" s="65">
        <v>1.5</v>
      </c>
      <c r="N75" s="66">
        <v>3637.5571384244236</v>
      </c>
      <c r="O75" s="66">
        <v>4134.2285095075649</v>
      </c>
      <c r="P75" s="66">
        <v>6006.8566624444429</v>
      </c>
      <c r="Q75" s="66">
        <v>7572.858860995133</v>
      </c>
      <c r="R75" s="66">
        <v>9182.7120209140176</v>
      </c>
      <c r="S75" s="67">
        <v>7572.858860995133</v>
      </c>
      <c r="T75" s="46" t="s">
        <v>150</v>
      </c>
      <c r="U75" s="46" t="s">
        <v>144</v>
      </c>
      <c r="V75" s="113">
        <v>4410</v>
      </c>
      <c r="W75" s="103"/>
      <c r="X75" s="92"/>
      <c r="Y75" s="92"/>
      <c r="AA75" s="89"/>
      <c r="AB75" s="89"/>
      <c r="AC75" s="90"/>
      <c r="AD75" s="90"/>
      <c r="AE75" s="91"/>
      <c r="AF75" s="91"/>
    </row>
    <row r="76" spans="1:32" s="46" customFormat="1" x14ac:dyDescent="0.35">
      <c r="A76" s="46" t="s">
        <v>53</v>
      </c>
      <c r="B76" s="46" t="s">
        <v>19</v>
      </c>
      <c r="C76" s="46">
        <v>2025</v>
      </c>
      <c r="D76" s="46" t="s">
        <v>138</v>
      </c>
      <c r="E76" s="46" t="s">
        <v>25</v>
      </c>
      <c r="F76" s="62" t="s">
        <v>5</v>
      </c>
      <c r="G76" s="63">
        <v>3757.9602797062716</v>
      </c>
      <c r="H76" s="63">
        <v>6406.6072097583965</v>
      </c>
      <c r="I76" s="63">
        <v>9308.5254269570305</v>
      </c>
      <c r="J76" s="63">
        <v>11735.280733941107</v>
      </c>
      <c r="K76" s="63">
        <v>14229.989683209407</v>
      </c>
      <c r="L76" s="18">
        <v>4</v>
      </c>
      <c r="M76" s="65">
        <v>1.5</v>
      </c>
      <c r="N76" s="66">
        <v>3757.9602797062716</v>
      </c>
      <c r="O76" s="66">
        <v>4271.0714731722646</v>
      </c>
      <c r="P76" s="66">
        <v>6205.6836179713537</v>
      </c>
      <c r="Q76" s="66">
        <v>7823.520489294071</v>
      </c>
      <c r="R76" s="66">
        <v>9486.6597888062715</v>
      </c>
      <c r="S76" s="67">
        <v>7823.520489294071</v>
      </c>
      <c r="T76" s="46" t="s">
        <v>150</v>
      </c>
      <c r="U76" s="46" t="s">
        <v>144</v>
      </c>
      <c r="V76" s="113">
        <v>4410</v>
      </c>
      <c r="W76" s="103"/>
      <c r="X76" s="92"/>
      <c r="Y76" s="92"/>
      <c r="AA76" s="89"/>
      <c r="AB76" s="91"/>
      <c r="AC76" s="90"/>
      <c r="AD76" s="90"/>
      <c r="AE76" s="91"/>
      <c r="AF76" s="91"/>
    </row>
    <row r="77" spans="1:32" ht="15.5" x14ac:dyDescent="0.35">
      <c r="A77" t="s">
        <v>53</v>
      </c>
      <c r="B77" t="s">
        <v>19</v>
      </c>
      <c r="C77">
        <v>2018</v>
      </c>
      <c r="D77" t="s">
        <v>60</v>
      </c>
      <c r="E77" t="s">
        <v>26</v>
      </c>
      <c r="F77" s="2" t="s">
        <v>5</v>
      </c>
      <c r="G77" s="15">
        <v>2579.8754050094699</v>
      </c>
      <c r="H77" s="15">
        <v>4421.0775835587419</v>
      </c>
      <c r="I77" s="15">
        <v>6370.7525016267537</v>
      </c>
      <c r="J77" s="15">
        <v>8137</v>
      </c>
      <c r="K77" s="15">
        <v>9735.9358923075561</v>
      </c>
      <c r="L77" s="18">
        <v>4</v>
      </c>
      <c r="M77" s="19">
        <v>1.5</v>
      </c>
      <c r="N77" s="43">
        <v>2579.8754050094699</v>
      </c>
      <c r="O77" s="43">
        <v>2947.3850557058281</v>
      </c>
      <c r="P77" s="43">
        <v>4247.1683344178355</v>
      </c>
      <c r="Q77" s="43">
        <v>5424.666666666667</v>
      </c>
      <c r="R77" s="43">
        <v>6490.6239282050374</v>
      </c>
      <c r="S77" s="41">
        <v>5424.666666666667</v>
      </c>
      <c r="T77" t="s">
        <v>150</v>
      </c>
      <c r="U77" s="25" t="s">
        <v>144</v>
      </c>
      <c r="V77" s="112">
        <v>3090</v>
      </c>
      <c r="W77" s="97"/>
      <c r="AA77" s="89"/>
      <c r="AB77" s="89"/>
      <c r="AC77" s="90"/>
      <c r="AD77" s="90"/>
      <c r="AE77" s="91"/>
      <c r="AF77" s="91"/>
    </row>
    <row r="78" spans="1:32" x14ac:dyDescent="0.35">
      <c r="A78" t="s">
        <v>53</v>
      </c>
      <c r="B78" t="s">
        <v>19</v>
      </c>
      <c r="C78">
        <v>2018</v>
      </c>
      <c r="D78" t="s">
        <v>60</v>
      </c>
      <c r="E78" t="s">
        <v>26</v>
      </c>
      <c r="F78" s="3" t="s">
        <v>6</v>
      </c>
      <c r="G78" s="15">
        <v>1152.2070690000003</v>
      </c>
      <c r="H78" s="15">
        <v>1961.1520646247275</v>
      </c>
      <c r="I78" s="15">
        <v>2985.9941642174681</v>
      </c>
      <c r="J78" s="15">
        <v>3879</v>
      </c>
      <c r="K78" s="15">
        <v>4552.8978404566033</v>
      </c>
      <c r="L78" s="18">
        <v>4</v>
      </c>
      <c r="M78" s="19">
        <v>1.5</v>
      </c>
      <c r="N78" s="43">
        <v>2579.8754050094699</v>
      </c>
      <c r="O78" s="43">
        <v>2947.3850557058281</v>
      </c>
      <c r="P78" s="43">
        <v>4247.1683344178355</v>
      </c>
      <c r="Q78" s="43">
        <v>5424.666666666667</v>
      </c>
      <c r="R78" s="43">
        <v>6490.6239282050374</v>
      </c>
      <c r="S78" s="41">
        <v>5424.666666666667</v>
      </c>
      <c r="T78" t="s">
        <v>150</v>
      </c>
      <c r="U78" s="25" t="s">
        <v>144</v>
      </c>
      <c r="V78" s="112">
        <v>3090</v>
      </c>
      <c r="W78" s="104"/>
      <c r="AA78" s="89"/>
      <c r="AB78" s="89"/>
      <c r="AC78" s="90"/>
      <c r="AD78" s="90"/>
      <c r="AE78" s="91"/>
      <c r="AF78" s="91"/>
    </row>
    <row r="79" spans="1:32" x14ac:dyDescent="0.35">
      <c r="A79" t="s">
        <v>53</v>
      </c>
      <c r="B79" t="s">
        <v>19</v>
      </c>
      <c r="C79">
        <v>2018</v>
      </c>
      <c r="D79" t="s">
        <v>60</v>
      </c>
      <c r="E79" t="s">
        <v>26</v>
      </c>
      <c r="F79" s="3" t="s">
        <v>7</v>
      </c>
      <c r="G79" s="15">
        <v>418.34128800946974</v>
      </c>
      <c r="H79" s="15">
        <v>705.59407839730807</v>
      </c>
      <c r="I79" s="15">
        <v>957.23305659561231</v>
      </c>
      <c r="J79" s="15">
        <v>1192</v>
      </c>
      <c r="K79" s="15">
        <v>1443.4753190618992</v>
      </c>
      <c r="L79" s="18">
        <v>4</v>
      </c>
      <c r="M79" s="19">
        <v>1.5</v>
      </c>
      <c r="N79" s="43">
        <v>2579.8754050094699</v>
      </c>
      <c r="O79" s="43">
        <v>2947.3850557058281</v>
      </c>
      <c r="P79" s="43">
        <v>4247.1683344178355</v>
      </c>
      <c r="Q79" s="43">
        <v>5424.666666666667</v>
      </c>
      <c r="R79" s="43">
        <v>6490.6239282050374</v>
      </c>
      <c r="S79" s="41">
        <v>5424.666666666667</v>
      </c>
      <c r="T79" t="s">
        <v>150</v>
      </c>
      <c r="U79" s="25" t="s">
        <v>144</v>
      </c>
      <c r="V79" s="112">
        <v>3090</v>
      </c>
      <c r="W79" s="104"/>
      <c r="AA79" s="89"/>
      <c r="AB79" s="89"/>
      <c r="AC79" s="90"/>
      <c r="AD79" s="90"/>
      <c r="AE79" s="91"/>
      <c r="AF79" s="91"/>
    </row>
    <row r="80" spans="1:32" x14ac:dyDescent="0.35">
      <c r="A80" t="s">
        <v>53</v>
      </c>
      <c r="B80" t="s">
        <v>19</v>
      </c>
      <c r="C80">
        <v>2018</v>
      </c>
      <c r="D80" t="s">
        <v>60</v>
      </c>
      <c r="E80" t="s">
        <v>26</v>
      </c>
      <c r="F80" s="3" t="s">
        <v>8</v>
      </c>
      <c r="G80" s="15">
        <v>165.79705000000001</v>
      </c>
      <c r="H80" s="15">
        <v>331.59410000000003</v>
      </c>
      <c r="I80" s="15">
        <v>497.39115000000004</v>
      </c>
      <c r="J80" s="15">
        <v>663</v>
      </c>
      <c r="K80" s="15">
        <v>828.98525000000006</v>
      </c>
      <c r="L80" s="18">
        <v>4</v>
      </c>
      <c r="M80" s="19">
        <v>1.5</v>
      </c>
      <c r="N80" s="43">
        <v>2579.8754050094699</v>
      </c>
      <c r="O80" s="43">
        <v>2947.3850557058281</v>
      </c>
      <c r="P80" s="43">
        <v>4247.1683344178355</v>
      </c>
      <c r="Q80" s="43">
        <v>5424.666666666667</v>
      </c>
      <c r="R80" s="43">
        <v>6490.6239282050374</v>
      </c>
      <c r="S80" s="41">
        <v>5424.666666666667</v>
      </c>
      <c r="T80" t="s">
        <v>150</v>
      </c>
      <c r="U80" s="25" t="s">
        <v>144</v>
      </c>
      <c r="V80" s="112">
        <v>3090</v>
      </c>
      <c r="W80" s="104"/>
      <c r="AA80" s="89"/>
      <c r="AB80" s="89"/>
      <c r="AC80" s="90"/>
      <c r="AD80" s="90"/>
      <c r="AE80" s="91"/>
      <c r="AF80" s="91"/>
    </row>
    <row r="81" spans="1:32" x14ac:dyDescent="0.35">
      <c r="A81" t="s">
        <v>53</v>
      </c>
      <c r="B81" t="s">
        <v>19</v>
      </c>
      <c r="C81">
        <v>2018</v>
      </c>
      <c r="D81" t="s">
        <v>60</v>
      </c>
      <c r="E81" t="s">
        <v>26</v>
      </c>
      <c r="F81" s="3" t="s">
        <v>9</v>
      </c>
      <c r="G81" s="15">
        <v>843.52999799999998</v>
      </c>
      <c r="H81" s="15">
        <v>1422.7373405367059</v>
      </c>
      <c r="I81" s="15">
        <v>1930.1341308136739</v>
      </c>
      <c r="J81" s="15">
        <v>2403</v>
      </c>
      <c r="K81" s="15">
        <v>2910.5774827890541</v>
      </c>
      <c r="L81" s="18">
        <v>4</v>
      </c>
      <c r="M81" s="19">
        <v>1.5</v>
      </c>
      <c r="N81" s="43">
        <v>2579.8754050094699</v>
      </c>
      <c r="O81" s="43">
        <v>2947.3850557058281</v>
      </c>
      <c r="P81" s="43">
        <v>4247.1683344178355</v>
      </c>
      <c r="Q81" s="43">
        <v>5424.666666666667</v>
      </c>
      <c r="R81" s="43">
        <v>6490.6239282050374</v>
      </c>
      <c r="S81" s="41">
        <v>5424.666666666667</v>
      </c>
      <c r="T81" t="s">
        <v>150</v>
      </c>
      <c r="U81" s="25" t="s">
        <v>144</v>
      </c>
      <c r="V81" s="112">
        <v>3090</v>
      </c>
      <c r="W81" s="104"/>
      <c r="AA81" s="89"/>
      <c r="AB81" s="89"/>
      <c r="AC81" s="90"/>
      <c r="AD81" s="90"/>
      <c r="AE81" s="91"/>
      <c r="AF81" s="91"/>
    </row>
    <row r="82" spans="1:32" s="46" customFormat="1" x14ac:dyDescent="0.35">
      <c r="A82" s="46" t="s">
        <v>53</v>
      </c>
      <c r="B82" s="46" t="s">
        <v>19</v>
      </c>
      <c r="C82" s="46">
        <v>2019</v>
      </c>
      <c r="D82" s="46" t="s">
        <v>138</v>
      </c>
      <c r="E82" s="46" t="s">
        <v>26</v>
      </c>
      <c r="F82" s="62" t="s">
        <v>5</v>
      </c>
      <c r="G82" s="63">
        <v>2652.0041723559075</v>
      </c>
      <c r="H82" s="63">
        <v>4544.683117308884</v>
      </c>
      <c r="I82" s="63">
        <v>6548.8675083124681</v>
      </c>
      <c r="J82" s="63">
        <v>8364.496172395895</v>
      </c>
      <c r="K82" s="63">
        <v>10008.135492921023</v>
      </c>
      <c r="L82" s="18">
        <v>4</v>
      </c>
      <c r="M82" s="65">
        <v>1.5</v>
      </c>
      <c r="N82" s="66">
        <v>2652.0041723559075</v>
      </c>
      <c r="O82" s="66">
        <v>3029.7887448725892</v>
      </c>
      <c r="P82" s="66">
        <v>4365.9116722083118</v>
      </c>
      <c r="Q82" s="66">
        <v>5576.330781597263</v>
      </c>
      <c r="R82" s="66">
        <v>6672.0903286140156</v>
      </c>
      <c r="S82" s="67">
        <v>5576.330781597263</v>
      </c>
      <c r="T82" s="46" t="s">
        <v>150</v>
      </c>
      <c r="U82" s="46" t="s">
        <v>144</v>
      </c>
      <c r="V82" s="113">
        <v>3250</v>
      </c>
      <c r="W82" s="103"/>
      <c r="X82" s="92"/>
      <c r="Y82" s="92"/>
      <c r="AA82" s="89"/>
      <c r="AB82" s="89"/>
      <c r="AC82" s="90"/>
      <c r="AD82" s="90"/>
      <c r="AE82" s="91"/>
      <c r="AF82" s="91"/>
    </row>
    <row r="83" spans="1:32" s="46" customFormat="1" x14ac:dyDescent="0.35">
      <c r="A83" s="46" t="s">
        <v>53</v>
      </c>
      <c r="B83" s="46" t="s">
        <v>19</v>
      </c>
      <c r="C83" s="46">
        <v>2020</v>
      </c>
      <c r="D83" s="46" t="s">
        <v>138</v>
      </c>
      <c r="E83" s="46" t="s">
        <v>26</v>
      </c>
      <c r="F83" s="62" t="s">
        <v>5</v>
      </c>
      <c r="G83" s="63">
        <v>2737.4234861449991</v>
      </c>
      <c r="H83" s="63">
        <v>4691.0643776839515</v>
      </c>
      <c r="I83" s="63">
        <v>6759.8022325059028</v>
      </c>
      <c r="J83" s="63">
        <v>8633.9111041992728</v>
      </c>
      <c r="K83" s="63">
        <v>10330.490968460916</v>
      </c>
      <c r="L83" s="18">
        <v>4</v>
      </c>
      <c r="M83" s="65">
        <v>1.5</v>
      </c>
      <c r="N83" s="66">
        <v>2737.4234861449991</v>
      </c>
      <c r="O83" s="66">
        <v>3127.376251789301</v>
      </c>
      <c r="P83" s="66">
        <v>4506.5348216706016</v>
      </c>
      <c r="Q83" s="66">
        <v>5755.9407361328485</v>
      </c>
      <c r="R83" s="66">
        <v>6886.9939789739437</v>
      </c>
      <c r="S83" s="67">
        <v>5755.9407361328485</v>
      </c>
      <c r="T83" s="46" t="s">
        <v>150</v>
      </c>
      <c r="U83" s="46" t="s">
        <v>144</v>
      </c>
      <c r="V83" s="113">
        <v>3430</v>
      </c>
      <c r="W83" s="103"/>
      <c r="X83" s="92"/>
      <c r="Y83" s="92"/>
      <c r="AA83" s="89"/>
      <c r="AB83" s="89"/>
      <c r="AC83" s="90"/>
      <c r="AD83" s="90"/>
      <c r="AE83" s="91"/>
      <c r="AF83" s="91"/>
    </row>
    <row r="84" spans="1:32" s="46" customFormat="1" x14ac:dyDescent="0.35">
      <c r="A84" s="46" t="s">
        <v>53</v>
      </c>
      <c r="B84" s="46" t="s">
        <v>19</v>
      </c>
      <c r="C84" s="46">
        <v>2021</v>
      </c>
      <c r="D84" s="46" t="s">
        <v>138</v>
      </c>
      <c r="E84" s="46" t="s">
        <v>26</v>
      </c>
      <c r="F84" s="62" t="s">
        <v>5</v>
      </c>
      <c r="G84" s="63">
        <v>2787.6474204627639</v>
      </c>
      <c r="H84" s="63">
        <v>4777.1320651929072</v>
      </c>
      <c r="I84" s="63">
        <v>6883.8253750867998</v>
      </c>
      <c r="J84" s="63">
        <v>8792.318813637532</v>
      </c>
      <c r="K84" s="63">
        <v>10520.026092454793</v>
      </c>
      <c r="L84" s="18">
        <v>4</v>
      </c>
      <c r="M84" s="65">
        <v>1.5</v>
      </c>
      <c r="N84" s="66">
        <v>2787.6474204627639</v>
      </c>
      <c r="O84" s="66">
        <v>3184.754710128605</v>
      </c>
      <c r="P84" s="66">
        <v>4589.2169167245329</v>
      </c>
      <c r="Q84" s="66">
        <v>5861.5458757583547</v>
      </c>
      <c r="R84" s="66">
        <v>7013.350728303195</v>
      </c>
      <c r="S84" s="67">
        <v>5861.5458757583547</v>
      </c>
      <c r="T84" s="46" t="s">
        <v>150</v>
      </c>
      <c r="U84" s="46" t="s">
        <v>144</v>
      </c>
      <c r="V84" s="113">
        <v>3430</v>
      </c>
      <c r="W84" s="103"/>
      <c r="X84" s="92"/>
      <c r="Y84" s="92"/>
      <c r="AA84" s="89"/>
      <c r="AB84" s="89"/>
      <c r="AC84" s="90"/>
      <c r="AD84" s="90"/>
      <c r="AE84" s="91"/>
      <c r="AF84" s="91"/>
    </row>
    <row r="85" spans="1:32" s="46" customFormat="1" x14ac:dyDescent="0.35">
      <c r="A85" s="46" t="s">
        <v>53</v>
      </c>
      <c r="B85" s="46" t="s">
        <v>19</v>
      </c>
      <c r="C85" s="46">
        <v>2022</v>
      </c>
      <c r="D85" s="46" t="s">
        <v>138</v>
      </c>
      <c r="E85" s="46" t="s">
        <v>26</v>
      </c>
      <c r="F85" s="62" t="s">
        <v>5</v>
      </c>
      <c r="G85" s="63">
        <v>2875.6397203529496</v>
      </c>
      <c r="H85" s="63">
        <v>4927.9225970980133</v>
      </c>
      <c r="I85" s="63">
        <v>7101.1138393129368</v>
      </c>
      <c r="J85" s="63">
        <v>9069.8490163814949</v>
      </c>
      <c r="K85" s="63">
        <v>10852.091505026297</v>
      </c>
      <c r="L85" s="18">
        <v>4</v>
      </c>
      <c r="M85" s="65">
        <v>1.5</v>
      </c>
      <c r="N85" s="66">
        <v>2875.6397203529496</v>
      </c>
      <c r="O85" s="66">
        <v>3285.2817313986757</v>
      </c>
      <c r="P85" s="66">
        <v>4734.0758928752912</v>
      </c>
      <c r="Q85" s="66">
        <v>6046.5660109209966</v>
      </c>
      <c r="R85" s="66">
        <v>7234.7276700175316</v>
      </c>
      <c r="S85" s="67">
        <v>6046.5660109209966</v>
      </c>
      <c r="T85" s="46" t="s">
        <v>150</v>
      </c>
      <c r="U85" s="46" t="s">
        <v>144</v>
      </c>
      <c r="V85" s="113">
        <v>3640</v>
      </c>
      <c r="W85" s="103"/>
      <c r="X85" s="92"/>
      <c r="Y85" s="92"/>
      <c r="AA85" s="89"/>
      <c r="AB85" s="89"/>
      <c r="AC85" s="90"/>
      <c r="AD85" s="90"/>
      <c r="AE85" s="91"/>
      <c r="AF85" s="91"/>
    </row>
    <row r="86" spans="1:32" s="46" customFormat="1" x14ac:dyDescent="0.35">
      <c r="A86" s="46" t="s">
        <v>53</v>
      </c>
      <c r="B86" s="46" t="s">
        <v>19</v>
      </c>
      <c r="C86" s="46">
        <v>2023</v>
      </c>
      <c r="D86" s="46" t="s">
        <v>138</v>
      </c>
      <c r="E86" s="46" t="s">
        <v>26</v>
      </c>
      <c r="F86" s="62" t="s">
        <v>5</v>
      </c>
      <c r="G86" s="63">
        <v>2969.1811985373743</v>
      </c>
      <c r="H86" s="63">
        <v>5088.2226377631905</v>
      </c>
      <c r="I86" s="63">
        <v>7332.1054620060886</v>
      </c>
      <c r="J86" s="63">
        <v>9364.8814844257686</v>
      </c>
      <c r="K86" s="63">
        <v>11205.098411137682</v>
      </c>
      <c r="L86" s="18">
        <v>4</v>
      </c>
      <c r="M86" s="65">
        <v>1.5</v>
      </c>
      <c r="N86" s="66">
        <v>2969.1811985373743</v>
      </c>
      <c r="O86" s="66">
        <v>3392.1484251754605</v>
      </c>
      <c r="P86" s="66">
        <v>4888.0703080040594</v>
      </c>
      <c r="Q86" s="66">
        <v>6243.2543229505127</v>
      </c>
      <c r="R86" s="66">
        <v>7470.065607425121</v>
      </c>
      <c r="S86" s="67">
        <v>6243.2543229505127</v>
      </c>
      <c r="T86" s="46" t="s">
        <v>150</v>
      </c>
      <c r="U86" s="46" t="s">
        <v>144</v>
      </c>
      <c r="V86" s="113">
        <v>3640</v>
      </c>
      <c r="W86" s="103"/>
      <c r="X86" s="92"/>
      <c r="Y86" s="92"/>
      <c r="AA86" s="89"/>
      <c r="AB86" s="89"/>
      <c r="AC86" s="90"/>
      <c r="AD86" s="90"/>
      <c r="AE86" s="91"/>
      <c r="AF86" s="91"/>
    </row>
    <row r="87" spans="1:32" s="46" customFormat="1" x14ac:dyDescent="0.35">
      <c r="A87" s="46" t="s">
        <v>53</v>
      </c>
      <c r="B87" s="46" t="s">
        <v>19</v>
      </c>
      <c r="C87" s="46">
        <v>2024</v>
      </c>
      <c r="D87" s="46" t="s">
        <v>138</v>
      </c>
      <c r="E87" s="46" t="s">
        <v>26</v>
      </c>
      <c r="F87" s="62" t="s">
        <v>5</v>
      </c>
      <c r="G87" s="63">
        <v>3076.6980033211607</v>
      </c>
      <c r="H87" s="63">
        <v>5272.4718982361837</v>
      </c>
      <c r="I87" s="63">
        <v>7597.6078004962328</v>
      </c>
      <c r="J87" s="63">
        <v>9703.9925278610062</v>
      </c>
      <c r="K87" s="63">
        <v>11610.845416085329</v>
      </c>
      <c r="L87" s="18">
        <v>4</v>
      </c>
      <c r="M87" s="65">
        <v>1.5</v>
      </c>
      <c r="N87" s="66">
        <v>3076.6980033211607</v>
      </c>
      <c r="O87" s="66">
        <v>3514.9812654907892</v>
      </c>
      <c r="P87" s="66">
        <v>5065.0718669974885</v>
      </c>
      <c r="Q87" s="66">
        <v>6469.3283519073375</v>
      </c>
      <c r="R87" s="66">
        <v>7740.5636107235523</v>
      </c>
      <c r="S87" s="67">
        <v>6469.3283519073375</v>
      </c>
      <c r="T87" s="46" t="s">
        <v>150</v>
      </c>
      <c r="U87" s="46" t="s">
        <v>144</v>
      </c>
      <c r="V87" s="113">
        <v>3860</v>
      </c>
      <c r="W87" s="103"/>
      <c r="X87" s="92"/>
      <c r="Y87" s="92"/>
      <c r="AA87" s="89"/>
      <c r="AB87" s="89"/>
      <c r="AC87" s="90"/>
      <c r="AD87" s="90"/>
      <c r="AE87" s="91"/>
      <c r="AF87" s="91"/>
    </row>
    <row r="88" spans="1:32" s="46" customFormat="1" x14ac:dyDescent="0.35">
      <c r="A88" s="46" t="s">
        <v>53</v>
      </c>
      <c r="B88" s="46" t="s">
        <v>19</v>
      </c>
      <c r="C88" s="46">
        <v>2025</v>
      </c>
      <c r="D88" s="46" t="s">
        <v>138</v>
      </c>
      <c r="E88" s="46" t="s">
        <v>26</v>
      </c>
      <c r="F88" s="62" t="s">
        <v>5</v>
      </c>
      <c r="G88" s="63">
        <v>3178.536707231091</v>
      </c>
      <c r="H88" s="63">
        <v>5446.990718067801</v>
      </c>
      <c r="I88" s="63">
        <v>7849.0886186926573</v>
      </c>
      <c r="J88" s="63">
        <v>10025.194680533205</v>
      </c>
      <c r="K88" s="63">
        <v>11995.164399357753</v>
      </c>
      <c r="L88" s="18">
        <v>4</v>
      </c>
      <c r="M88" s="65">
        <v>1.5</v>
      </c>
      <c r="N88" s="66">
        <v>3178.536707231091</v>
      </c>
      <c r="O88" s="66">
        <v>3631.3271453785342</v>
      </c>
      <c r="P88" s="66">
        <v>5232.7257457951046</v>
      </c>
      <c r="Q88" s="66">
        <v>6683.46312035547</v>
      </c>
      <c r="R88" s="66">
        <v>7996.7762662385021</v>
      </c>
      <c r="S88" s="67">
        <v>6683.46312035547</v>
      </c>
      <c r="T88" s="46" t="s">
        <v>150</v>
      </c>
      <c r="U88" s="46" t="s">
        <v>144</v>
      </c>
      <c r="V88" s="113">
        <v>3860</v>
      </c>
      <c r="W88" s="103"/>
      <c r="X88" s="92"/>
      <c r="Y88" s="92"/>
      <c r="AA88" s="89"/>
      <c r="AB88" s="91"/>
      <c r="AC88" s="90"/>
      <c r="AD88" s="90"/>
      <c r="AE88" s="91"/>
      <c r="AF88" s="91"/>
    </row>
    <row r="89" spans="1:32" ht="15.5" x14ac:dyDescent="0.35">
      <c r="A89" t="s">
        <v>53</v>
      </c>
      <c r="B89" t="s">
        <v>19</v>
      </c>
      <c r="C89">
        <v>2018</v>
      </c>
      <c r="D89" t="s">
        <v>60</v>
      </c>
      <c r="E89" t="s">
        <v>27</v>
      </c>
      <c r="F89" s="2" t="s">
        <v>5</v>
      </c>
      <c r="G89" s="15">
        <v>2047.5050707207633</v>
      </c>
      <c r="H89" s="15">
        <v>3499.6728337266559</v>
      </c>
      <c r="I89" s="15">
        <v>5051.2503382599316</v>
      </c>
      <c r="J89" s="15">
        <v>6374</v>
      </c>
      <c r="K89" s="15">
        <v>7738.0453139334277</v>
      </c>
      <c r="L89" s="18">
        <v>4</v>
      </c>
      <c r="M89" s="19">
        <v>1.5</v>
      </c>
      <c r="N89" s="43">
        <v>2047.5050707207633</v>
      </c>
      <c r="O89" s="43">
        <v>2333.1152224844373</v>
      </c>
      <c r="P89" s="43">
        <v>3367.5002255066211</v>
      </c>
      <c r="Q89" s="43">
        <v>4249.333333333333</v>
      </c>
      <c r="R89" s="43">
        <v>5158.6968759556185</v>
      </c>
      <c r="S89" s="41">
        <v>4249.333333333333</v>
      </c>
      <c r="T89" t="s">
        <v>150</v>
      </c>
      <c r="U89" s="25" t="s">
        <v>144</v>
      </c>
      <c r="V89" s="112">
        <v>2760</v>
      </c>
      <c r="W89" s="97"/>
      <c r="AA89" s="89"/>
      <c r="AB89" s="89"/>
      <c r="AC89" s="90"/>
      <c r="AD89" s="90"/>
      <c r="AE89" s="91"/>
      <c r="AF89" s="91"/>
    </row>
    <row r="90" spans="1:32" x14ac:dyDescent="0.35">
      <c r="A90" t="s">
        <v>53</v>
      </c>
      <c r="B90" t="s">
        <v>19</v>
      </c>
      <c r="C90">
        <v>2018</v>
      </c>
      <c r="D90" t="s">
        <v>60</v>
      </c>
      <c r="E90" t="s">
        <v>27</v>
      </c>
      <c r="F90" s="3" t="s">
        <v>6</v>
      </c>
      <c r="G90" s="15">
        <v>948.59122200000002</v>
      </c>
      <c r="H90" s="15">
        <v>1616.4848154979802</v>
      </c>
      <c r="I90" s="15">
        <v>2466.4443680080858</v>
      </c>
      <c r="J90" s="15">
        <v>3140</v>
      </c>
      <c r="K90" s="15">
        <v>3796.6927308587883</v>
      </c>
      <c r="L90" s="18">
        <v>4</v>
      </c>
      <c r="M90" s="19">
        <v>1.5</v>
      </c>
      <c r="N90" s="43">
        <v>2047.5050707207633</v>
      </c>
      <c r="O90" s="43">
        <v>2333.1152224844373</v>
      </c>
      <c r="P90" s="43">
        <v>3367.5002255066211</v>
      </c>
      <c r="Q90" s="43">
        <v>4249.333333333333</v>
      </c>
      <c r="R90" s="43">
        <v>5158.6968759556185</v>
      </c>
      <c r="S90" s="41">
        <v>4249.333333333333</v>
      </c>
      <c r="T90" t="s">
        <v>150</v>
      </c>
      <c r="U90" s="25" t="s">
        <v>144</v>
      </c>
      <c r="V90" s="112">
        <v>2760</v>
      </c>
      <c r="W90" s="104"/>
      <c r="AA90" s="89"/>
      <c r="AB90" s="89"/>
      <c r="AC90" s="90"/>
      <c r="AD90" s="90"/>
      <c r="AE90" s="91"/>
      <c r="AF90" s="91"/>
    </row>
    <row r="91" spans="1:32" x14ac:dyDescent="0.35">
      <c r="A91" t="s">
        <v>53</v>
      </c>
      <c r="B91" t="s">
        <v>19</v>
      </c>
      <c r="C91">
        <v>2018</v>
      </c>
      <c r="D91" t="s">
        <v>60</v>
      </c>
      <c r="E91" t="s">
        <v>27</v>
      </c>
      <c r="F91" s="3" t="s">
        <v>7</v>
      </c>
      <c r="G91" s="15">
        <v>327.80372972076344</v>
      </c>
      <c r="H91" s="15">
        <v>551.26851568259701</v>
      </c>
      <c r="I91" s="15">
        <v>747.32333717636959</v>
      </c>
      <c r="J91" s="15">
        <v>926</v>
      </c>
      <c r="K91" s="15">
        <v>1123.9501544017435</v>
      </c>
      <c r="L91" s="18">
        <v>4</v>
      </c>
      <c r="M91" s="19">
        <v>1.5</v>
      </c>
      <c r="N91" s="43">
        <v>2047.5050707207633</v>
      </c>
      <c r="O91" s="43">
        <v>2333.1152224844373</v>
      </c>
      <c r="P91" s="43">
        <v>3367.5002255066211</v>
      </c>
      <c r="Q91" s="43">
        <v>4249.333333333333</v>
      </c>
      <c r="R91" s="43">
        <v>5158.6968759556185</v>
      </c>
      <c r="S91" s="41">
        <v>4249.333333333333</v>
      </c>
      <c r="T91" t="s">
        <v>150</v>
      </c>
      <c r="U91" s="25" t="s">
        <v>144</v>
      </c>
      <c r="V91" s="112">
        <v>2760</v>
      </c>
      <c r="AA91" s="89"/>
      <c r="AB91" s="89"/>
      <c r="AC91" s="90"/>
      <c r="AD91" s="90"/>
      <c r="AE91" s="91"/>
      <c r="AF91" s="91"/>
    </row>
    <row r="92" spans="1:32" x14ac:dyDescent="0.35">
      <c r="A92" t="s">
        <v>53</v>
      </c>
      <c r="B92" t="s">
        <v>19</v>
      </c>
      <c r="C92">
        <v>2018</v>
      </c>
      <c r="D92" t="s">
        <v>60</v>
      </c>
      <c r="E92" t="s">
        <v>27</v>
      </c>
      <c r="F92" s="3" t="s">
        <v>8</v>
      </c>
      <c r="G92" s="15">
        <v>110.40412599999999</v>
      </c>
      <c r="H92" s="15">
        <v>220.80825199999998</v>
      </c>
      <c r="I92" s="15">
        <v>331.21237799999994</v>
      </c>
      <c r="J92" s="15">
        <v>442</v>
      </c>
      <c r="K92" s="15">
        <v>552.02062999999998</v>
      </c>
      <c r="L92" s="18">
        <v>4</v>
      </c>
      <c r="M92" s="19">
        <v>1.5</v>
      </c>
      <c r="N92" s="43">
        <v>2047.5050707207633</v>
      </c>
      <c r="O92" s="43">
        <v>2333.1152224844373</v>
      </c>
      <c r="P92" s="43">
        <v>3367.5002255066211</v>
      </c>
      <c r="Q92" s="43">
        <v>4249.333333333333</v>
      </c>
      <c r="R92" s="43">
        <v>5158.6968759556185</v>
      </c>
      <c r="S92" s="41">
        <v>4249.333333333333</v>
      </c>
      <c r="T92" t="s">
        <v>150</v>
      </c>
      <c r="U92" s="25" t="s">
        <v>144</v>
      </c>
      <c r="V92" s="112">
        <v>2760</v>
      </c>
      <c r="AA92" s="89"/>
      <c r="AB92" s="89"/>
      <c r="AC92" s="90"/>
      <c r="AD92" s="90"/>
      <c r="AE92" s="91"/>
      <c r="AF92" s="91"/>
    </row>
    <row r="93" spans="1:32" x14ac:dyDescent="0.35">
      <c r="A93" t="s">
        <v>53</v>
      </c>
      <c r="B93" t="s">
        <v>19</v>
      </c>
      <c r="C93">
        <v>2018</v>
      </c>
      <c r="D93" t="s">
        <v>60</v>
      </c>
      <c r="E93" t="s">
        <v>27</v>
      </c>
      <c r="F93" s="3" t="s">
        <v>9</v>
      </c>
      <c r="G93" s="15">
        <v>660.70599299999992</v>
      </c>
      <c r="H93" s="15">
        <v>1111.1112505460787</v>
      </c>
      <c r="I93" s="15">
        <v>1506.2702550754768</v>
      </c>
      <c r="J93" s="15">
        <v>1866</v>
      </c>
      <c r="K93" s="15">
        <v>2265.3817986728968</v>
      </c>
      <c r="L93" s="18">
        <v>4</v>
      </c>
      <c r="M93" s="19">
        <v>1.5</v>
      </c>
      <c r="N93" s="43">
        <v>2047.5050707207633</v>
      </c>
      <c r="O93" s="43">
        <v>2333.1152224844373</v>
      </c>
      <c r="P93" s="43">
        <v>3367.5002255066211</v>
      </c>
      <c r="Q93" s="43">
        <v>4249.333333333333</v>
      </c>
      <c r="R93" s="43">
        <v>5158.6968759556185</v>
      </c>
      <c r="S93" s="41">
        <v>4249.333333333333</v>
      </c>
      <c r="T93" t="s">
        <v>150</v>
      </c>
      <c r="U93" s="25" t="s">
        <v>144</v>
      </c>
      <c r="V93" s="112">
        <v>2760</v>
      </c>
      <c r="AA93" s="89"/>
      <c r="AB93" s="89"/>
      <c r="AC93" s="90"/>
      <c r="AD93" s="90"/>
      <c r="AE93" s="91"/>
      <c r="AF93" s="91"/>
    </row>
    <row r="94" spans="1:32" s="46" customFormat="1" x14ac:dyDescent="0.35">
      <c r="A94" s="46" t="s">
        <v>53</v>
      </c>
      <c r="B94" s="46" t="s">
        <v>19</v>
      </c>
      <c r="C94" s="46">
        <v>2019</v>
      </c>
      <c r="D94" s="46" t="s">
        <v>138</v>
      </c>
      <c r="E94" s="46" t="s">
        <v>27</v>
      </c>
      <c r="F94" s="62" t="s">
        <v>5</v>
      </c>
      <c r="G94" s="63">
        <v>2104.7497022250227</v>
      </c>
      <c r="H94" s="63">
        <v>3597.5175153428177</v>
      </c>
      <c r="I94" s="63">
        <v>5192.4743910764</v>
      </c>
      <c r="J94" s="63">
        <v>6552.2058010140636</v>
      </c>
      <c r="K94" s="63">
        <v>7954.3874167656568</v>
      </c>
      <c r="L94" s="18">
        <v>4</v>
      </c>
      <c r="M94" s="65">
        <v>1.5</v>
      </c>
      <c r="N94" s="66">
        <v>2104.7497022250227</v>
      </c>
      <c r="O94" s="66">
        <v>2398.3450102285451</v>
      </c>
      <c r="P94" s="66">
        <v>3461.6495940509335</v>
      </c>
      <c r="Q94" s="66">
        <v>4368.1372006760421</v>
      </c>
      <c r="R94" s="66">
        <v>5302.9249445104379</v>
      </c>
      <c r="S94" s="67">
        <v>4368.1372006760421</v>
      </c>
      <c r="T94" s="46" t="s">
        <v>150</v>
      </c>
      <c r="U94" s="46" t="s">
        <v>144</v>
      </c>
      <c r="V94" s="113">
        <v>2920</v>
      </c>
      <c r="W94" s="103"/>
      <c r="X94" s="92"/>
      <c r="Y94" s="92"/>
      <c r="AA94" s="89"/>
      <c r="AB94" s="89"/>
      <c r="AC94" s="90"/>
      <c r="AD94" s="90"/>
      <c r="AE94" s="91"/>
      <c r="AF94" s="91"/>
    </row>
    <row r="95" spans="1:32" s="46" customFormat="1" x14ac:dyDescent="0.35">
      <c r="A95" s="46" t="s">
        <v>53</v>
      </c>
      <c r="B95" s="46" t="s">
        <v>19</v>
      </c>
      <c r="C95" s="46">
        <v>2020</v>
      </c>
      <c r="D95" s="46" t="s">
        <v>138</v>
      </c>
      <c r="E95" s="46" t="s">
        <v>27</v>
      </c>
      <c r="F95" s="62" t="s">
        <v>5</v>
      </c>
      <c r="G95" s="63">
        <v>2172.542308713324</v>
      </c>
      <c r="H95" s="63">
        <v>3713.3911933362556</v>
      </c>
      <c r="I95" s="63">
        <v>5359.720583211596</v>
      </c>
      <c r="J95" s="63">
        <v>6763.2480494243791</v>
      </c>
      <c r="K95" s="63">
        <v>8210.5930147188119</v>
      </c>
      <c r="L95" s="18">
        <v>4</v>
      </c>
      <c r="M95" s="65">
        <v>1.5</v>
      </c>
      <c r="N95" s="66">
        <v>2172.542308713324</v>
      </c>
      <c r="O95" s="66">
        <v>2475.5941288908371</v>
      </c>
      <c r="P95" s="66">
        <v>3573.1470554743973</v>
      </c>
      <c r="Q95" s="66">
        <v>4508.8320329495864</v>
      </c>
      <c r="R95" s="66">
        <v>5473.7286764792079</v>
      </c>
      <c r="S95" s="67">
        <v>4508.8320329495864</v>
      </c>
      <c r="T95" s="46" t="s">
        <v>150</v>
      </c>
      <c r="U95" s="46" t="s">
        <v>144</v>
      </c>
      <c r="V95" s="113">
        <v>3070</v>
      </c>
      <c r="W95" s="103"/>
      <c r="X95" s="92"/>
      <c r="Y95" s="92"/>
      <c r="AA95" s="89"/>
      <c r="AB95" s="89"/>
      <c r="AC95" s="90"/>
      <c r="AD95" s="90"/>
      <c r="AE95" s="91"/>
      <c r="AF95" s="91"/>
    </row>
    <row r="96" spans="1:32" s="46" customFormat="1" x14ac:dyDescent="0.35">
      <c r="A96" s="46" t="s">
        <v>53</v>
      </c>
      <c r="B96" s="46" t="s">
        <v>19</v>
      </c>
      <c r="C96" s="46">
        <v>2021</v>
      </c>
      <c r="D96" s="46" t="s">
        <v>138</v>
      </c>
      <c r="E96" s="46" t="s">
        <v>27</v>
      </c>
      <c r="F96" s="62" t="s">
        <v>5</v>
      </c>
      <c r="G96" s="63">
        <v>2212.4022802404343</v>
      </c>
      <c r="H96" s="63">
        <v>3781.5213589223367</v>
      </c>
      <c r="I96" s="63">
        <v>5458.0562100867328</v>
      </c>
      <c r="J96" s="63">
        <v>6887.3344129440384</v>
      </c>
      <c r="K96" s="63">
        <v>8361.2340413514339</v>
      </c>
      <c r="L96" s="18">
        <v>4</v>
      </c>
      <c r="M96" s="65">
        <v>1.5</v>
      </c>
      <c r="N96" s="66">
        <v>2212.4022802404343</v>
      </c>
      <c r="O96" s="66">
        <v>2521.0142392815578</v>
      </c>
      <c r="P96" s="66">
        <v>3638.7041400578219</v>
      </c>
      <c r="Q96" s="66">
        <v>4591.5562752960259</v>
      </c>
      <c r="R96" s="66">
        <v>5574.1560275676229</v>
      </c>
      <c r="S96" s="67">
        <v>4591.5562752960259</v>
      </c>
      <c r="T96" s="46" t="s">
        <v>150</v>
      </c>
      <c r="U96" s="46" t="s">
        <v>144</v>
      </c>
      <c r="V96" s="113">
        <v>3070</v>
      </c>
      <c r="W96" s="103"/>
      <c r="X96" s="92"/>
      <c r="Y96" s="92"/>
      <c r="AA96" s="89"/>
      <c r="AB96" s="89"/>
      <c r="AC96" s="90"/>
      <c r="AD96" s="90"/>
      <c r="AE96" s="91"/>
      <c r="AF96" s="91"/>
    </row>
    <row r="97" spans="1:32" s="46" customFormat="1" x14ac:dyDescent="0.35">
      <c r="A97" s="46" t="s">
        <v>53</v>
      </c>
      <c r="B97" s="46" t="s">
        <v>19</v>
      </c>
      <c r="C97" s="46">
        <v>2022</v>
      </c>
      <c r="D97" s="46" t="s">
        <v>138</v>
      </c>
      <c r="E97" s="46" t="s">
        <v>27</v>
      </c>
      <c r="F97" s="62" t="s">
        <v>5</v>
      </c>
      <c r="G97" s="63">
        <v>2282.2369241382376</v>
      </c>
      <c r="H97" s="63">
        <v>3900.8853642168797</v>
      </c>
      <c r="I97" s="63">
        <v>5630.3401636922126</v>
      </c>
      <c r="J97" s="63">
        <v>7104.7336402133042</v>
      </c>
      <c r="K97" s="63">
        <v>8625.1570209284164</v>
      </c>
      <c r="L97" s="18">
        <v>4</v>
      </c>
      <c r="M97" s="65">
        <v>1.5</v>
      </c>
      <c r="N97" s="66">
        <v>2282.2369241382376</v>
      </c>
      <c r="O97" s="66">
        <v>2600.5902428112531</v>
      </c>
      <c r="P97" s="66">
        <v>3753.5601091281419</v>
      </c>
      <c r="Q97" s="66">
        <v>4736.4890934755358</v>
      </c>
      <c r="R97" s="66">
        <v>5750.1046806189443</v>
      </c>
      <c r="S97" s="67">
        <v>4736.4890934755358</v>
      </c>
      <c r="T97" s="46" t="s">
        <v>150</v>
      </c>
      <c r="U97" s="46" t="s">
        <v>144</v>
      </c>
      <c r="V97" s="113">
        <v>3250</v>
      </c>
      <c r="W97" s="103"/>
      <c r="X97" s="92"/>
      <c r="Y97" s="92"/>
      <c r="AA97" s="89"/>
      <c r="AB97" s="89"/>
      <c r="AC97" s="90"/>
      <c r="AD97" s="90"/>
      <c r="AE97" s="91"/>
      <c r="AF97" s="91"/>
    </row>
    <row r="98" spans="1:32" s="46" customFormat="1" x14ac:dyDescent="0.35">
      <c r="A98" s="46" t="s">
        <v>53</v>
      </c>
      <c r="B98" s="46" t="s">
        <v>19</v>
      </c>
      <c r="C98" s="46">
        <v>2023</v>
      </c>
      <c r="D98" s="46" t="s">
        <v>138</v>
      </c>
      <c r="E98" s="46" t="s">
        <v>27</v>
      </c>
      <c r="F98" s="62" t="s">
        <v>5</v>
      </c>
      <c r="G98" s="63">
        <v>2356.4756453312957</v>
      </c>
      <c r="H98" s="63">
        <v>4027.7769844063687</v>
      </c>
      <c r="I98" s="63">
        <v>5813.4890949944493</v>
      </c>
      <c r="J98" s="63">
        <v>7335.8430111502839</v>
      </c>
      <c r="K98" s="63">
        <v>8905.7241349517917</v>
      </c>
      <c r="L98" s="18">
        <v>4</v>
      </c>
      <c r="M98" s="65">
        <v>1.5</v>
      </c>
      <c r="N98" s="66">
        <v>2356.4756453312957</v>
      </c>
      <c r="O98" s="66">
        <v>2685.1846562709125</v>
      </c>
      <c r="P98" s="66">
        <v>3875.6593966629662</v>
      </c>
      <c r="Q98" s="66">
        <v>4890.5620074335229</v>
      </c>
      <c r="R98" s="66">
        <v>5937.1494233011945</v>
      </c>
      <c r="S98" s="67">
        <v>4890.5620074335229</v>
      </c>
      <c r="T98" s="46" t="s">
        <v>150</v>
      </c>
      <c r="U98" s="46" t="s">
        <v>144</v>
      </c>
      <c r="V98" s="113">
        <v>3250</v>
      </c>
      <c r="W98" s="103"/>
      <c r="X98" s="92"/>
      <c r="Y98" s="92"/>
      <c r="AA98" s="89"/>
      <c r="AB98" s="89"/>
      <c r="AC98" s="90"/>
      <c r="AD98" s="90"/>
      <c r="AE98" s="91"/>
      <c r="AF98" s="91"/>
    </row>
    <row r="99" spans="1:32" s="46" customFormat="1" x14ac:dyDescent="0.35">
      <c r="A99" s="46" t="s">
        <v>53</v>
      </c>
      <c r="B99" s="46" t="s">
        <v>19</v>
      </c>
      <c r="C99" s="46">
        <v>2024</v>
      </c>
      <c r="D99" s="46" t="s">
        <v>138</v>
      </c>
      <c r="E99" s="46" t="s">
        <v>27</v>
      </c>
      <c r="F99" s="62" t="s">
        <v>5</v>
      </c>
      <c r="G99" s="63">
        <v>2441.8058138173542</v>
      </c>
      <c r="H99" s="63">
        <v>4173.6265243261187</v>
      </c>
      <c r="I99" s="63">
        <v>6024.0009264876198</v>
      </c>
      <c r="J99" s="63">
        <v>7601.4806897610997</v>
      </c>
      <c r="K99" s="63">
        <v>9228.208664945294</v>
      </c>
      <c r="L99" s="18">
        <v>4</v>
      </c>
      <c r="M99" s="65">
        <v>1.5</v>
      </c>
      <c r="N99" s="66">
        <v>2441.8058138173542</v>
      </c>
      <c r="O99" s="66">
        <v>2782.4176828840791</v>
      </c>
      <c r="P99" s="66">
        <v>4016.0006176584134</v>
      </c>
      <c r="Q99" s="66">
        <v>5067.6537931740668</v>
      </c>
      <c r="R99" s="66">
        <v>6152.1391099635293</v>
      </c>
      <c r="S99" s="67">
        <v>5067.6537931740668</v>
      </c>
      <c r="T99" s="46" t="s">
        <v>150</v>
      </c>
      <c r="U99" s="46" t="s">
        <v>144</v>
      </c>
      <c r="V99" s="113">
        <v>3450</v>
      </c>
      <c r="W99" s="103"/>
      <c r="X99" s="92"/>
      <c r="Y99" s="92"/>
      <c r="AA99" s="89"/>
      <c r="AB99" s="89"/>
      <c r="AC99" s="90"/>
      <c r="AD99" s="90"/>
      <c r="AE99" s="91"/>
      <c r="AF99" s="91"/>
    </row>
    <row r="100" spans="1:32" s="46" customFormat="1" x14ac:dyDescent="0.35">
      <c r="A100" s="46" t="s">
        <v>53</v>
      </c>
      <c r="B100" s="46" t="s">
        <v>19</v>
      </c>
      <c r="C100" s="46">
        <v>2025</v>
      </c>
      <c r="D100" s="46" t="s">
        <v>138</v>
      </c>
      <c r="E100" s="46" t="s">
        <v>27</v>
      </c>
      <c r="F100" s="62" t="s">
        <v>5</v>
      </c>
      <c r="G100" s="63">
        <v>2522.6295862547086</v>
      </c>
      <c r="H100" s="63">
        <v>4311.7735622813125</v>
      </c>
      <c r="I100" s="63">
        <v>6223.3953571543598</v>
      </c>
      <c r="J100" s="63">
        <v>7853.0897005921915</v>
      </c>
      <c r="K100" s="63">
        <v>9533.6623717549828</v>
      </c>
      <c r="L100" s="18">
        <v>4</v>
      </c>
      <c r="M100" s="65">
        <v>1.5</v>
      </c>
      <c r="N100" s="66">
        <v>2522.6295862547086</v>
      </c>
      <c r="O100" s="66">
        <v>2874.5157081875418</v>
      </c>
      <c r="P100" s="66">
        <v>4148.9302381029065</v>
      </c>
      <c r="Q100" s="66">
        <v>5235.3931337281274</v>
      </c>
      <c r="R100" s="66">
        <v>6355.7749145033222</v>
      </c>
      <c r="S100" s="67">
        <v>5235.3931337281274</v>
      </c>
      <c r="T100" s="46" t="s">
        <v>150</v>
      </c>
      <c r="U100" s="46" t="s">
        <v>144</v>
      </c>
      <c r="V100" s="113">
        <v>3450</v>
      </c>
      <c r="W100" s="103"/>
      <c r="X100" s="92"/>
      <c r="Y100" s="92"/>
      <c r="AA100" s="89"/>
      <c r="AB100" s="91"/>
      <c r="AC100" s="90"/>
      <c r="AD100" s="90"/>
      <c r="AE100" s="91"/>
      <c r="AF100" s="91"/>
    </row>
    <row r="101" spans="1:32" x14ac:dyDescent="0.35">
      <c r="A101" s="23" t="s">
        <v>54</v>
      </c>
      <c r="B101" t="s">
        <v>19</v>
      </c>
      <c r="C101">
        <v>2020</v>
      </c>
      <c r="D101" t="s">
        <v>60</v>
      </c>
      <c r="E101" t="s">
        <v>21</v>
      </c>
      <c r="F101" s="2" t="s">
        <v>5</v>
      </c>
      <c r="G101" s="17">
        <v>2964.5162350254141</v>
      </c>
      <c r="H101" s="15">
        <v>5073.8880218510658</v>
      </c>
      <c r="I101" s="15">
        <v>7265.8551035351447</v>
      </c>
      <c r="J101" s="15">
        <v>9161.2228334438278</v>
      </c>
      <c r="K101" s="15">
        <v>11116.465288760619</v>
      </c>
      <c r="L101" s="18">
        <v>4</v>
      </c>
      <c r="M101" s="19">
        <v>1.5</v>
      </c>
      <c r="N101" s="43">
        <v>2964.5162350254141</v>
      </c>
      <c r="O101" s="43">
        <v>3382.5920145673772</v>
      </c>
      <c r="P101" s="43">
        <v>4843.9034023567629</v>
      </c>
      <c r="Q101" s="43">
        <v>6107.4818889625521</v>
      </c>
      <c r="R101" s="43">
        <v>7410.9768591737457</v>
      </c>
      <c r="S101" s="41">
        <v>6107.4818889625521</v>
      </c>
      <c r="T101" t="s">
        <v>150</v>
      </c>
      <c r="U101" s="25" t="s">
        <v>145</v>
      </c>
      <c r="V101" s="109">
        <v>3675</v>
      </c>
      <c r="W101" s="96" t="s">
        <v>154</v>
      </c>
      <c r="X101" s="95">
        <v>6300000</v>
      </c>
      <c r="Y101" s="94">
        <v>6873959.591</v>
      </c>
      <c r="AA101" s="89">
        <v>5.2380000000000004</v>
      </c>
      <c r="AB101" s="89">
        <v>3.22</v>
      </c>
      <c r="AC101" s="90">
        <v>69.230999999999995</v>
      </c>
      <c r="AD101" s="90">
        <v>2.1030000000000002</v>
      </c>
      <c r="AE101" s="91">
        <v>44.149115989999999</v>
      </c>
      <c r="AF101" s="91">
        <v>46.136000000000003</v>
      </c>
    </row>
    <row r="102" spans="1:32" x14ac:dyDescent="0.35">
      <c r="A102" s="23" t="s">
        <v>54</v>
      </c>
      <c r="B102" t="s">
        <v>19</v>
      </c>
      <c r="C102">
        <v>2020</v>
      </c>
      <c r="D102" t="s">
        <v>60</v>
      </c>
      <c r="E102" t="s">
        <v>21</v>
      </c>
      <c r="F102" s="3" t="s">
        <v>6</v>
      </c>
      <c r="G102" s="17">
        <v>1244.9163599999997</v>
      </c>
      <c r="H102" s="15">
        <v>2127.8882273263198</v>
      </c>
      <c r="I102" s="15">
        <v>3216.7107495277196</v>
      </c>
      <c r="J102" s="15">
        <v>4086.337113474839</v>
      </c>
      <c r="K102" s="15">
        <v>4948.9433940679182</v>
      </c>
      <c r="L102" s="18">
        <v>4</v>
      </c>
      <c r="M102" s="19">
        <v>1.5</v>
      </c>
      <c r="N102" s="43">
        <v>2964.5162350254141</v>
      </c>
      <c r="O102" s="43">
        <v>3382.5920145673772</v>
      </c>
      <c r="P102" s="43">
        <v>4843.9034023567629</v>
      </c>
      <c r="Q102" s="43">
        <v>6107.4818889625521</v>
      </c>
      <c r="R102" s="43">
        <v>7410.9768591737457</v>
      </c>
      <c r="S102" s="41">
        <v>6107.4818889625521</v>
      </c>
      <c r="T102" t="s">
        <v>150</v>
      </c>
      <c r="U102" s="25" t="s">
        <v>145</v>
      </c>
      <c r="V102" s="109">
        <v>3675</v>
      </c>
      <c r="W102" s="96" t="s">
        <v>154</v>
      </c>
      <c r="X102" s="95">
        <v>6300000</v>
      </c>
      <c r="Y102" s="94">
        <v>6873959.591</v>
      </c>
      <c r="AA102" s="89">
        <v>5.2380000000000004</v>
      </c>
      <c r="AB102" s="89">
        <v>3.22</v>
      </c>
      <c r="AC102" s="90">
        <v>69.230999999999995</v>
      </c>
      <c r="AD102" s="90">
        <v>2.1030000000000002</v>
      </c>
      <c r="AE102" s="91">
        <v>44.149115989999999</v>
      </c>
      <c r="AF102" s="91">
        <v>46.136000000000003</v>
      </c>
    </row>
    <row r="103" spans="1:32" x14ac:dyDescent="0.35">
      <c r="A103" s="23" t="s">
        <v>54</v>
      </c>
      <c r="B103" t="s">
        <v>19</v>
      </c>
      <c r="C103">
        <v>2020</v>
      </c>
      <c r="D103" t="s">
        <v>60</v>
      </c>
      <c r="E103" t="s">
        <v>21</v>
      </c>
      <c r="F103" s="3" t="s">
        <v>7</v>
      </c>
      <c r="G103" s="17">
        <v>606.82623548541483</v>
      </c>
      <c r="H103" s="15">
        <v>1020.8643827833489</v>
      </c>
      <c r="I103" s="15">
        <v>1386.722954288683</v>
      </c>
      <c r="J103" s="15">
        <v>1705.4202044245617</v>
      </c>
      <c r="K103" s="15">
        <v>2084.0761344100474</v>
      </c>
      <c r="L103" s="18">
        <v>4</v>
      </c>
      <c r="M103" s="19">
        <v>1.5</v>
      </c>
      <c r="N103" s="43">
        <v>2964.5162350254141</v>
      </c>
      <c r="O103" s="43">
        <v>3382.5920145673772</v>
      </c>
      <c r="P103" s="43">
        <v>4843.9034023567629</v>
      </c>
      <c r="Q103" s="43">
        <v>6107.4818889625521</v>
      </c>
      <c r="R103" s="43">
        <v>7410.9768591737457</v>
      </c>
      <c r="S103" s="41">
        <v>6107.4818889625521</v>
      </c>
      <c r="T103" t="s">
        <v>150</v>
      </c>
      <c r="U103" s="25" t="s">
        <v>145</v>
      </c>
      <c r="V103" s="109">
        <v>3675</v>
      </c>
      <c r="W103" s="96" t="s">
        <v>154</v>
      </c>
      <c r="X103" s="95">
        <v>6300000</v>
      </c>
      <c r="Y103" s="94">
        <v>6873959.591</v>
      </c>
      <c r="AA103" s="89">
        <v>5.2380000000000004</v>
      </c>
      <c r="AB103" s="89">
        <v>3.22</v>
      </c>
      <c r="AC103" s="90">
        <v>69.230999999999995</v>
      </c>
      <c r="AD103" s="90">
        <v>2.1030000000000002</v>
      </c>
      <c r="AE103" s="91">
        <v>44.149115989999999</v>
      </c>
      <c r="AF103" s="91">
        <v>46.136000000000003</v>
      </c>
    </row>
    <row r="104" spans="1:32" x14ac:dyDescent="0.35">
      <c r="A104" s="23" t="s">
        <v>54</v>
      </c>
      <c r="B104" t="s">
        <v>19</v>
      </c>
      <c r="C104">
        <v>2020</v>
      </c>
      <c r="D104" t="s">
        <v>60</v>
      </c>
      <c r="E104" t="s">
        <v>21</v>
      </c>
      <c r="F104" s="3" t="s">
        <v>8</v>
      </c>
      <c r="G104" s="17">
        <v>167.187184</v>
      </c>
      <c r="H104" s="15">
        <v>334.37437199999999</v>
      </c>
      <c r="I104" s="15">
        <v>501.56155799999999</v>
      </c>
      <c r="J104" s="15">
        <v>711.99595999999997</v>
      </c>
      <c r="K104" s="15">
        <v>835.93592999999998</v>
      </c>
      <c r="L104" s="18">
        <v>4</v>
      </c>
      <c r="M104" s="19">
        <v>1.5</v>
      </c>
      <c r="N104" s="43">
        <v>2964.5162350254141</v>
      </c>
      <c r="O104" s="43">
        <v>3382.5920145673772</v>
      </c>
      <c r="P104" s="43">
        <v>4843.9034023567629</v>
      </c>
      <c r="Q104" s="43">
        <v>6107.4818889625521</v>
      </c>
      <c r="R104" s="43">
        <v>7410.9768591737457</v>
      </c>
      <c r="S104" s="41">
        <v>6107.4818889625521</v>
      </c>
      <c r="T104" t="s">
        <v>150</v>
      </c>
      <c r="U104" s="25" t="s">
        <v>145</v>
      </c>
      <c r="V104" s="109">
        <v>3675</v>
      </c>
      <c r="W104" s="96" t="s">
        <v>154</v>
      </c>
      <c r="X104" s="95">
        <v>6300000</v>
      </c>
      <c r="Y104" s="94">
        <v>6873959.591</v>
      </c>
      <c r="Z104" s="7"/>
      <c r="AA104" s="89">
        <v>5.2380000000000004</v>
      </c>
      <c r="AB104" s="89">
        <v>3.22</v>
      </c>
      <c r="AC104" s="90">
        <v>69.230999999999995</v>
      </c>
      <c r="AD104" s="90">
        <v>2.1030000000000002</v>
      </c>
      <c r="AE104" s="91">
        <v>44.149115989999999</v>
      </c>
      <c r="AF104" s="91">
        <v>46.136000000000003</v>
      </c>
    </row>
    <row r="105" spans="1:32" x14ac:dyDescent="0.35">
      <c r="A105" s="23" t="s">
        <v>54</v>
      </c>
      <c r="B105" t="s">
        <v>19</v>
      </c>
      <c r="C105">
        <v>2020</v>
      </c>
      <c r="D105" t="s">
        <v>60</v>
      </c>
      <c r="E105" t="s">
        <v>21</v>
      </c>
      <c r="F105" s="3" t="s">
        <v>9</v>
      </c>
      <c r="G105" s="17">
        <v>945.58645553999986</v>
      </c>
      <c r="H105" s="15">
        <v>1590.7610397413973</v>
      </c>
      <c r="I105" s="15">
        <v>2160.8598417187409</v>
      </c>
      <c r="J105" s="15">
        <v>2657.4695555444268</v>
      </c>
      <c r="K105" s="15">
        <v>3247.5098302826536</v>
      </c>
      <c r="L105" s="18">
        <v>4</v>
      </c>
      <c r="M105" s="19">
        <v>1.5</v>
      </c>
      <c r="N105" s="43">
        <v>2964.5162350254141</v>
      </c>
      <c r="O105" s="43">
        <v>3382.5920145673772</v>
      </c>
      <c r="P105" s="43">
        <v>4843.9034023567629</v>
      </c>
      <c r="Q105" s="43">
        <v>6107.4818889625521</v>
      </c>
      <c r="R105" s="43">
        <v>7410.9768591737457</v>
      </c>
      <c r="S105" s="41">
        <v>6107.4818889625521</v>
      </c>
      <c r="T105" t="s">
        <v>150</v>
      </c>
      <c r="U105" s="25" t="s">
        <v>145</v>
      </c>
      <c r="V105" s="109">
        <v>3675</v>
      </c>
      <c r="W105" s="96" t="s">
        <v>154</v>
      </c>
      <c r="X105" s="95">
        <v>6300000</v>
      </c>
      <c r="Y105" s="94">
        <v>6873959.591</v>
      </c>
      <c r="Z105" s="7"/>
      <c r="AA105" s="89">
        <v>5.2380000000000004</v>
      </c>
      <c r="AB105" s="89">
        <v>3.22</v>
      </c>
      <c r="AC105" s="90">
        <v>69.230999999999995</v>
      </c>
      <c r="AD105" s="90">
        <v>2.1030000000000002</v>
      </c>
      <c r="AE105" s="91">
        <v>44.149115989999999</v>
      </c>
      <c r="AF105" s="91">
        <v>46.136000000000003</v>
      </c>
    </row>
    <row r="106" spans="1:32" s="46" customFormat="1" x14ac:dyDescent="0.35">
      <c r="A106" s="68" t="s">
        <v>54</v>
      </c>
      <c r="B106" s="46" t="s">
        <v>19</v>
      </c>
      <c r="C106" s="46">
        <v>2021</v>
      </c>
      <c r="D106" s="46" t="s">
        <v>140</v>
      </c>
      <c r="E106" s="46" t="s">
        <v>21</v>
      </c>
      <c r="F106" s="69" t="s">
        <v>5</v>
      </c>
      <c r="G106" s="70">
        <v>3018.9066753155057</v>
      </c>
      <c r="H106" s="70">
        <v>5166.9794342813757</v>
      </c>
      <c r="I106" s="70">
        <v>7399.1628768224436</v>
      </c>
      <c r="J106" s="70">
        <v>9329.3052131655149</v>
      </c>
      <c r="K106" s="70">
        <v>11320.420805813143</v>
      </c>
      <c r="L106" s="18">
        <v>4</v>
      </c>
      <c r="M106" s="65">
        <v>1.5</v>
      </c>
      <c r="N106" s="66">
        <v>3018.9066753155057</v>
      </c>
      <c r="O106" s="66">
        <v>3444.6529561875836</v>
      </c>
      <c r="P106" s="66">
        <v>4932.7752512149627</v>
      </c>
      <c r="Q106" s="66">
        <v>6219.5368087770103</v>
      </c>
      <c r="R106" s="66">
        <v>7546.9472038754284</v>
      </c>
      <c r="S106" s="67">
        <v>6219.5368087770103</v>
      </c>
      <c r="T106" s="46" t="s">
        <v>150</v>
      </c>
      <c r="U106" s="46" t="s">
        <v>145</v>
      </c>
      <c r="V106" s="110">
        <v>3675</v>
      </c>
      <c r="W106" s="106" t="s">
        <v>154</v>
      </c>
      <c r="X106" s="92">
        <v>6300000</v>
      </c>
      <c r="Y106" s="92">
        <v>6746802.3810000001</v>
      </c>
      <c r="Z106" s="71"/>
      <c r="AA106" s="89">
        <v>2.569</v>
      </c>
      <c r="AB106" s="89">
        <v>1.83</v>
      </c>
      <c r="AC106" s="90">
        <v>70.363</v>
      </c>
      <c r="AD106" s="90">
        <v>2.383</v>
      </c>
      <c r="AE106" s="91">
        <v>44.778549310000002</v>
      </c>
      <c r="AF106" s="91">
        <v>44.994</v>
      </c>
    </row>
    <row r="107" spans="1:32" s="46" customFormat="1" x14ac:dyDescent="0.35">
      <c r="A107" s="68" t="s">
        <v>54</v>
      </c>
      <c r="B107" s="46" t="s">
        <v>19</v>
      </c>
      <c r="C107" s="46">
        <v>2022</v>
      </c>
      <c r="D107" s="46" t="s">
        <v>140</v>
      </c>
      <c r="E107" s="46" t="s">
        <v>21</v>
      </c>
      <c r="F107" s="69" t="s">
        <v>5</v>
      </c>
      <c r="G107" s="70">
        <v>3114.1986909287098</v>
      </c>
      <c r="H107" s="70">
        <v>5330.0755276288746</v>
      </c>
      <c r="I107" s="70">
        <v>7632.7180079392792</v>
      </c>
      <c r="J107" s="70">
        <v>9623.7854318825775</v>
      </c>
      <c r="K107" s="70">
        <v>11677.750737538456</v>
      </c>
      <c r="L107" s="18">
        <v>4</v>
      </c>
      <c r="M107" s="65">
        <v>1.5</v>
      </c>
      <c r="N107" s="66">
        <v>3114.1986909287098</v>
      </c>
      <c r="O107" s="66">
        <v>3553.3836850859166</v>
      </c>
      <c r="P107" s="66">
        <v>5088.4786719595195</v>
      </c>
      <c r="Q107" s="66">
        <v>6415.8569545883847</v>
      </c>
      <c r="R107" s="66">
        <v>7785.1671583589705</v>
      </c>
      <c r="S107" s="67">
        <v>6415.8569545883847</v>
      </c>
      <c r="T107" s="46" t="s">
        <v>150</v>
      </c>
      <c r="U107" s="46" t="s">
        <v>145</v>
      </c>
      <c r="V107" s="110">
        <v>3900</v>
      </c>
      <c r="W107" s="106" t="s">
        <v>154</v>
      </c>
      <c r="X107" s="92">
        <v>7000000</v>
      </c>
      <c r="Y107" s="92">
        <v>7460916.4689999996</v>
      </c>
      <c r="Z107" s="71"/>
      <c r="AA107" s="89">
        <v>5.4020000000000001</v>
      </c>
      <c r="AB107" s="89">
        <v>3.16</v>
      </c>
      <c r="AC107" s="90">
        <v>68.546000000000006</v>
      </c>
      <c r="AD107" s="90">
        <v>1.57</v>
      </c>
      <c r="AE107" s="91">
        <v>45.34770614</v>
      </c>
      <c r="AF107" s="91">
        <v>46.323</v>
      </c>
    </row>
    <row r="108" spans="1:32" s="46" customFormat="1" x14ac:dyDescent="0.35">
      <c r="A108" s="68" t="s">
        <v>54</v>
      </c>
      <c r="B108" s="46" t="s">
        <v>19</v>
      </c>
      <c r="C108" s="46">
        <v>2023</v>
      </c>
      <c r="D108" s="46" t="s">
        <v>140</v>
      </c>
      <c r="E108" s="46" t="s">
        <v>21</v>
      </c>
      <c r="F108" s="69" t="s">
        <v>5</v>
      </c>
      <c r="G108" s="70">
        <v>3215.5002367543871</v>
      </c>
      <c r="H108" s="70">
        <v>5503.4571721235607</v>
      </c>
      <c r="I108" s="70">
        <v>7881.0021444999911</v>
      </c>
      <c r="J108" s="70">
        <v>9936.8368578510363</v>
      </c>
      <c r="K108" s="70">
        <v>12057.61545359702</v>
      </c>
      <c r="L108" s="18">
        <v>4</v>
      </c>
      <c r="M108" s="65">
        <v>1.5</v>
      </c>
      <c r="N108" s="66">
        <v>3215.5002367543871</v>
      </c>
      <c r="O108" s="66">
        <v>3668.9714480823736</v>
      </c>
      <c r="P108" s="66">
        <v>5254.0014296666604</v>
      </c>
      <c r="Q108" s="66">
        <v>6624.5579052340245</v>
      </c>
      <c r="R108" s="66">
        <v>8038.4103023980133</v>
      </c>
      <c r="S108" s="67">
        <v>6624.5579052340245</v>
      </c>
      <c r="T108" s="46" t="s">
        <v>150</v>
      </c>
      <c r="U108" s="46" t="s">
        <v>145</v>
      </c>
      <c r="V108" s="110">
        <v>3900</v>
      </c>
      <c r="W108" s="106" t="s">
        <v>154</v>
      </c>
      <c r="X108" s="92">
        <v>7300000</v>
      </c>
      <c r="Y108" s="92">
        <v>7853534.4689999996</v>
      </c>
      <c r="Z108" s="71"/>
      <c r="AA108" s="89">
        <v>5.319</v>
      </c>
      <c r="AB108" s="89">
        <v>3.25</v>
      </c>
      <c r="AC108" s="90">
        <v>67.661000000000001</v>
      </c>
      <c r="AD108" s="90">
        <v>1.645</v>
      </c>
      <c r="AE108" s="91">
        <v>45.715681859999997</v>
      </c>
      <c r="AF108" s="91">
        <v>48.076000000000001</v>
      </c>
    </row>
    <row r="109" spans="1:32" s="46" customFormat="1" x14ac:dyDescent="0.35">
      <c r="A109" s="68" t="s">
        <v>54</v>
      </c>
      <c r="B109" s="46" t="s">
        <v>19</v>
      </c>
      <c r="C109" s="46">
        <v>2024</v>
      </c>
      <c r="D109" s="46" t="s">
        <v>140</v>
      </c>
      <c r="E109" s="46" t="s">
        <v>21</v>
      </c>
      <c r="F109" s="69" t="s">
        <v>5</v>
      </c>
      <c r="G109" s="70">
        <v>3331.9364823454757</v>
      </c>
      <c r="H109" s="70">
        <v>5702.7424601695102</v>
      </c>
      <c r="I109" s="70">
        <v>8166.3805409037568</v>
      </c>
      <c r="J109" s="70">
        <v>10296.658935782887</v>
      </c>
      <c r="K109" s="70">
        <v>12494.232891266693</v>
      </c>
      <c r="L109" s="18">
        <v>4</v>
      </c>
      <c r="M109" s="65">
        <v>1.5</v>
      </c>
      <c r="N109" s="66">
        <v>3331.9364823454757</v>
      </c>
      <c r="O109" s="66">
        <v>3801.8283067796733</v>
      </c>
      <c r="P109" s="66">
        <v>5444.2536939358379</v>
      </c>
      <c r="Q109" s="66">
        <v>6864.4392905219247</v>
      </c>
      <c r="R109" s="66">
        <v>8329.4885941777957</v>
      </c>
      <c r="S109" s="67">
        <v>6864.4392905219247</v>
      </c>
      <c r="T109" s="46" t="s">
        <v>150</v>
      </c>
      <c r="U109" s="46" t="s">
        <v>145</v>
      </c>
      <c r="V109" s="110">
        <v>4135</v>
      </c>
      <c r="W109" s="106" t="s">
        <v>154</v>
      </c>
      <c r="X109" s="92">
        <v>8000000</v>
      </c>
      <c r="Y109" s="92">
        <v>8579562.3660000004</v>
      </c>
      <c r="Z109" s="71"/>
      <c r="AA109" s="89">
        <v>6.4359999999999999</v>
      </c>
      <c r="AB109" s="89">
        <v>3.62</v>
      </c>
      <c r="AC109" s="90">
        <v>67.031999999999996</v>
      </c>
      <c r="AD109" s="90">
        <v>1.5289999999999999</v>
      </c>
      <c r="AE109" s="91">
        <v>46.188454350000001</v>
      </c>
      <c r="AF109" s="91">
        <v>47.033000000000001</v>
      </c>
    </row>
    <row r="110" spans="1:32" s="46" customFormat="1" x14ac:dyDescent="0.35">
      <c r="A110" s="68" t="s">
        <v>54</v>
      </c>
      <c r="B110" s="46" t="s">
        <v>19</v>
      </c>
      <c r="C110" s="46">
        <v>2025</v>
      </c>
      <c r="D110" s="46" t="s">
        <v>140</v>
      </c>
      <c r="E110" s="46" t="s">
        <v>21</v>
      </c>
      <c r="F110" s="69" t="s">
        <v>5</v>
      </c>
      <c r="G110" s="70">
        <v>3442.2235799111108</v>
      </c>
      <c r="H110" s="70">
        <v>5891.5032356011207</v>
      </c>
      <c r="I110" s="70">
        <v>8436.6877368076712</v>
      </c>
      <c r="J110" s="70">
        <v>10637.4783465573</v>
      </c>
      <c r="K110" s="70">
        <v>12907.79199996762</v>
      </c>
      <c r="L110" s="18">
        <v>4</v>
      </c>
      <c r="M110" s="65">
        <v>1.5</v>
      </c>
      <c r="N110" s="66">
        <v>3442.2235799111108</v>
      </c>
      <c r="O110" s="66">
        <v>3927.6688237340804</v>
      </c>
      <c r="P110" s="66">
        <v>5624.4584912051141</v>
      </c>
      <c r="Q110" s="66">
        <v>7091.6522310381997</v>
      </c>
      <c r="R110" s="66">
        <v>8605.1946666450804</v>
      </c>
      <c r="S110" s="67">
        <v>7091.6522310381997</v>
      </c>
      <c r="T110" s="46" t="s">
        <v>150</v>
      </c>
      <c r="U110" s="46" t="s">
        <v>145</v>
      </c>
      <c r="V110" s="110">
        <v>4135</v>
      </c>
      <c r="W110" s="106" t="s">
        <v>154</v>
      </c>
      <c r="X110" s="92" t="s">
        <v>147</v>
      </c>
      <c r="Y110" s="92" t="s">
        <v>147</v>
      </c>
      <c r="Z110" s="71"/>
      <c r="AA110" s="89">
        <v>5.742</v>
      </c>
      <c r="AB110" s="91" t="s">
        <v>147</v>
      </c>
      <c r="AC110" s="90" t="s">
        <v>147</v>
      </c>
      <c r="AD110" s="90" t="s">
        <v>147</v>
      </c>
      <c r="AE110" s="91">
        <v>46.653214550000001</v>
      </c>
      <c r="AF110" s="91">
        <v>47.32</v>
      </c>
    </row>
    <row r="111" spans="1:32" ht="16" x14ac:dyDescent="0.4">
      <c r="A111" s="23" t="s">
        <v>54</v>
      </c>
      <c r="B111" t="s">
        <v>19</v>
      </c>
      <c r="C111">
        <v>2020</v>
      </c>
      <c r="D111" t="s">
        <v>60</v>
      </c>
      <c r="E111" t="s">
        <v>28</v>
      </c>
      <c r="F111" s="9" t="s">
        <v>5</v>
      </c>
      <c r="G111" s="17">
        <v>3353.2262651309638</v>
      </c>
      <c r="H111" s="15">
        <v>5711.6896994092449</v>
      </c>
      <c r="I111" s="15">
        <v>8207.8436405633383</v>
      </c>
      <c r="J111" s="15">
        <v>10293.170234156645</v>
      </c>
      <c r="K111" s="15">
        <v>12454.006343270834</v>
      </c>
      <c r="L111" s="18">
        <v>4</v>
      </c>
      <c r="M111" s="19">
        <v>1.5</v>
      </c>
      <c r="N111" s="43">
        <v>3353.2262651309638</v>
      </c>
      <c r="O111" s="43">
        <v>3807.7931329394964</v>
      </c>
      <c r="P111" s="43">
        <v>5471.8957603755589</v>
      </c>
      <c r="Q111" s="43">
        <v>6862.1134894377637</v>
      </c>
      <c r="R111" s="43">
        <v>8302.6708955138893</v>
      </c>
      <c r="S111" s="41">
        <v>6862.1134894377637</v>
      </c>
      <c r="T111" t="s">
        <v>150</v>
      </c>
      <c r="U111" s="25" t="s">
        <v>145</v>
      </c>
      <c r="W111" s="105"/>
      <c r="X111" s="98"/>
      <c r="Y111" s="98"/>
      <c r="Z111" s="8"/>
      <c r="AA111" s="89"/>
      <c r="AB111" s="89"/>
      <c r="AC111" s="90"/>
      <c r="AD111" s="90"/>
      <c r="AE111" s="91"/>
      <c r="AF111" s="91"/>
    </row>
    <row r="112" spans="1:32" ht="16" x14ac:dyDescent="0.4">
      <c r="A112" s="23" t="s">
        <v>54</v>
      </c>
      <c r="B112" t="s">
        <v>19</v>
      </c>
      <c r="C112">
        <v>2020</v>
      </c>
      <c r="D112" t="s">
        <v>60</v>
      </c>
      <c r="E112" t="s">
        <v>28</v>
      </c>
      <c r="F112" s="10" t="s">
        <v>6</v>
      </c>
      <c r="G112" s="15">
        <v>1300.0179390000001</v>
      </c>
      <c r="H112" s="15">
        <v>2180.2613855148393</v>
      </c>
      <c r="I112" s="15">
        <v>3347.105486843679</v>
      </c>
      <c r="J112" s="15">
        <v>4254.8495128401246</v>
      </c>
      <c r="K112" s="15">
        <v>5098.6131559686846</v>
      </c>
      <c r="L112" s="18">
        <v>4</v>
      </c>
      <c r="M112" s="19">
        <v>1.5</v>
      </c>
      <c r="N112" s="43">
        <v>3353.2262651309638</v>
      </c>
      <c r="O112" s="43">
        <v>3807.7931329394964</v>
      </c>
      <c r="P112" s="43">
        <v>5471.8957603755589</v>
      </c>
      <c r="Q112" s="43">
        <v>6862.1134894377637</v>
      </c>
      <c r="R112" s="43">
        <v>8302.6708955138893</v>
      </c>
      <c r="S112" s="41">
        <v>6862.1134894377637</v>
      </c>
      <c r="T112" t="s">
        <v>150</v>
      </c>
      <c r="U112" s="25" t="s">
        <v>145</v>
      </c>
      <c r="W112" s="105"/>
      <c r="X112" s="98"/>
      <c r="Y112" s="98"/>
      <c r="Z112" s="8"/>
      <c r="AA112" s="89"/>
      <c r="AB112" s="89"/>
      <c r="AC112" s="90"/>
      <c r="AD112" s="90"/>
      <c r="AE112" s="91"/>
      <c r="AF112" s="91"/>
    </row>
    <row r="113" spans="1:32" x14ac:dyDescent="0.35">
      <c r="A113" s="23" t="s">
        <v>54</v>
      </c>
      <c r="B113" t="s">
        <v>19</v>
      </c>
      <c r="C113">
        <v>2020</v>
      </c>
      <c r="D113" t="s">
        <v>60</v>
      </c>
      <c r="E113" t="s">
        <v>28</v>
      </c>
      <c r="F113" s="10" t="s">
        <v>7</v>
      </c>
      <c r="G113" s="15">
        <v>750.36849923096338</v>
      </c>
      <c r="H113" s="15">
        <v>1264.2681207197786</v>
      </c>
      <c r="I113" s="15">
        <v>1716.927167512358</v>
      </c>
      <c r="J113" s="15">
        <v>2107.187070645889</v>
      </c>
      <c r="K113" s="15">
        <v>2554.8133959141264</v>
      </c>
      <c r="L113" s="18">
        <v>4</v>
      </c>
      <c r="M113" s="19">
        <v>1.5</v>
      </c>
      <c r="N113" s="43">
        <v>3353.2262651309638</v>
      </c>
      <c r="O113" s="43">
        <v>3807.7931329394964</v>
      </c>
      <c r="P113" s="43">
        <v>5471.8957603755589</v>
      </c>
      <c r="Q113" s="43">
        <v>6862.1134894377637</v>
      </c>
      <c r="R113" s="43">
        <v>8302.6708955138893</v>
      </c>
      <c r="S113" s="41">
        <v>6862.1134894377637</v>
      </c>
      <c r="T113" t="s">
        <v>150</v>
      </c>
      <c r="U113" s="25" t="s">
        <v>145</v>
      </c>
      <c r="W113" s="96"/>
      <c r="Z113" s="7"/>
      <c r="AA113" s="89"/>
      <c r="AB113" s="89"/>
      <c r="AC113" s="90"/>
      <c r="AD113" s="90"/>
      <c r="AE113" s="91"/>
      <c r="AF113" s="91"/>
    </row>
    <row r="114" spans="1:32" x14ac:dyDescent="0.35">
      <c r="A114" s="23" t="s">
        <v>54</v>
      </c>
      <c r="B114" t="s">
        <v>19</v>
      </c>
      <c r="C114">
        <v>2020</v>
      </c>
      <c r="D114" t="s">
        <v>60</v>
      </c>
      <c r="E114" t="s">
        <v>28</v>
      </c>
      <c r="F114" s="3" t="s">
        <v>8</v>
      </c>
      <c r="G114" s="15">
        <v>228.642076</v>
      </c>
      <c r="H114" s="15">
        <v>457.28414800000002</v>
      </c>
      <c r="I114" s="15">
        <v>685.92622200000005</v>
      </c>
      <c r="J114" s="15">
        <v>914.56830400000001</v>
      </c>
      <c r="K114" s="15">
        <v>1143.21037</v>
      </c>
      <c r="L114" s="18">
        <v>4</v>
      </c>
      <c r="M114" s="19">
        <v>1.5</v>
      </c>
      <c r="N114" s="43">
        <v>3353.2262651309638</v>
      </c>
      <c r="O114" s="43">
        <v>3807.7931329394964</v>
      </c>
      <c r="P114" s="43">
        <v>5471.8957603755589</v>
      </c>
      <c r="Q114" s="43">
        <v>6862.1134894377637</v>
      </c>
      <c r="R114" s="43">
        <v>8302.6708955138893</v>
      </c>
      <c r="S114" s="41">
        <v>6862.1134894377637</v>
      </c>
      <c r="T114" t="s">
        <v>150</v>
      </c>
      <c r="U114" s="25" t="s">
        <v>145</v>
      </c>
      <c r="AA114" s="89"/>
      <c r="AB114" s="89"/>
      <c r="AC114" s="90"/>
      <c r="AD114" s="90"/>
      <c r="AE114" s="91"/>
      <c r="AF114" s="91"/>
    </row>
    <row r="115" spans="1:32" x14ac:dyDescent="0.35">
      <c r="A115" s="23" t="s">
        <v>54</v>
      </c>
      <c r="B115" t="s">
        <v>19</v>
      </c>
      <c r="C115">
        <v>2020</v>
      </c>
      <c r="D115" t="s">
        <v>60</v>
      </c>
      <c r="E115" t="s">
        <v>28</v>
      </c>
      <c r="F115" s="3" t="s">
        <v>9</v>
      </c>
      <c r="G115" s="15">
        <v>1074.1977509000003</v>
      </c>
      <c r="H115" s="15">
        <v>1809.8760451746273</v>
      </c>
      <c r="I115" s="15">
        <v>2457.8847642073015</v>
      </c>
      <c r="J115" s="15">
        <v>3016.5653466706326</v>
      </c>
      <c r="K115" s="15">
        <v>3657.3694213880217</v>
      </c>
      <c r="L115" s="18">
        <v>4</v>
      </c>
      <c r="M115" s="19">
        <v>1.5</v>
      </c>
      <c r="N115" s="43">
        <v>3353.2262651309638</v>
      </c>
      <c r="O115" s="43">
        <v>3807.7931329394964</v>
      </c>
      <c r="P115" s="43">
        <v>5471.8957603755589</v>
      </c>
      <c r="Q115" s="43">
        <v>6862.1134894377637</v>
      </c>
      <c r="R115" s="43">
        <v>8302.6708955138893</v>
      </c>
      <c r="S115" s="41">
        <v>6862.1134894377637</v>
      </c>
      <c r="T115" t="s">
        <v>150</v>
      </c>
      <c r="U115" s="25" t="s">
        <v>145</v>
      </c>
      <c r="AA115" s="89"/>
      <c r="AB115" s="89"/>
      <c r="AC115" s="90"/>
      <c r="AD115" s="90"/>
      <c r="AE115" s="91"/>
      <c r="AF115" s="91"/>
    </row>
    <row r="116" spans="1:32" s="46" customFormat="1" x14ac:dyDescent="0.35">
      <c r="A116" s="68" t="s">
        <v>54</v>
      </c>
      <c r="B116" s="46" t="s">
        <v>19</v>
      </c>
      <c r="C116" s="46">
        <v>2021</v>
      </c>
      <c r="D116" s="46" t="s">
        <v>140</v>
      </c>
      <c r="E116" s="46" t="s">
        <v>28</v>
      </c>
      <c r="F116" s="69" t="s">
        <v>5</v>
      </c>
      <c r="G116" s="63">
        <v>3414.7484287804432</v>
      </c>
      <c r="H116" s="63">
        <v>5816.4829583837864</v>
      </c>
      <c r="I116" s="63">
        <v>8358.4342240008555</v>
      </c>
      <c r="J116" s="63">
        <v>10482.020628835575</v>
      </c>
      <c r="K116" s="63">
        <v>12682.501934012736</v>
      </c>
      <c r="L116" s="18">
        <v>4</v>
      </c>
      <c r="M116" s="65">
        <v>1.5</v>
      </c>
      <c r="N116" s="66">
        <v>3414.7484287804432</v>
      </c>
      <c r="O116" s="66">
        <v>3877.6553055891909</v>
      </c>
      <c r="P116" s="66">
        <v>5572.2894826672373</v>
      </c>
      <c r="Q116" s="66">
        <v>6988.0137525570499</v>
      </c>
      <c r="R116" s="66">
        <v>8455.0012893418243</v>
      </c>
      <c r="S116" s="67">
        <v>6988.0137525570499</v>
      </c>
      <c r="T116" s="46" t="s">
        <v>150</v>
      </c>
      <c r="U116" s="46" t="s">
        <v>145</v>
      </c>
      <c r="V116" s="110"/>
      <c r="W116" s="103"/>
      <c r="X116" s="92"/>
      <c r="Y116" s="92"/>
      <c r="AA116" s="89"/>
      <c r="AB116" s="89"/>
      <c r="AC116" s="90"/>
      <c r="AD116" s="90"/>
      <c r="AE116" s="91"/>
      <c r="AF116" s="91"/>
    </row>
    <row r="117" spans="1:32" s="46" customFormat="1" x14ac:dyDescent="0.35">
      <c r="A117" s="68" t="s">
        <v>54</v>
      </c>
      <c r="B117" s="46" t="s">
        <v>19</v>
      </c>
      <c r="C117" s="46">
        <v>2022</v>
      </c>
      <c r="D117" s="46" t="s">
        <v>140</v>
      </c>
      <c r="E117" s="46" t="s">
        <v>28</v>
      </c>
      <c r="F117" s="69" t="s">
        <v>5</v>
      </c>
      <c r="G117" s="63">
        <v>3522.5352190284398</v>
      </c>
      <c r="H117" s="63">
        <v>6000.0806791799469</v>
      </c>
      <c r="I117" s="63">
        <v>8622.2688271331917</v>
      </c>
      <c r="J117" s="63">
        <v>10812.886396097671</v>
      </c>
      <c r="K117" s="63">
        <v>13082.826058700733</v>
      </c>
      <c r="L117" s="18">
        <v>4</v>
      </c>
      <c r="M117" s="65">
        <v>1.5</v>
      </c>
      <c r="N117" s="66">
        <v>3522.5352190284398</v>
      </c>
      <c r="O117" s="66">
        <v>4000.0537861199646</v>
      </c>
      <c r="P117" s="66">
        <v>5748.1792180887942</v>
      </c>
      <c r="Q117" s="66">
        <v>7208.5909307317806</v>
      </c>
      <c r="R117" s="66">
        <v>8721.8840391338217</v>
      </c>
      <c r="S117" s="67">
        <v>7208.5909307317806</v>
      </c>
      <c r="T117" s="46" t="s">
        <v>150</v>
      </c>
      <c r="U117" s="46" t="s">
        <v>145</v>
      </c>
      <c r="V117" s="110"/>
      <c r="W117" s="103"/>
      <c r="X117" s="92"/>
      <c r="Y117" s="92"/>
      <c r="AA117" s="89"/>
      <c r="AB117" s="89"/>
      <c r="AC117" s="90"/>
      <c r="AD117" s="90"/>
      <c r="AE117" s="91"/>
      <c r="AF117" s="91"/>
    </row>
    <row r="118" spans="1:32" s="46" customFormat="1" x14ac:dyDescent="0.35">
      <c r="A118" s="68" t="s">
        <v>54</v>
      </c>
      <c r="B118" s="46" t="s">
        <v>19</v>
      </c>
      <c r="C118" s="46">
        <v>2023</v>
      </c>
      <c r="D118" s="46" t="s">
        <v>140</v>
      </c>
      <c r="E118" s="46" t="s">
        <v>28</v>
      </c>
      <c r="F118" s="69" t="s">
        <v>5</v>
      </c>
      <c r="G118" s="63">
        <v>3637.1195144853737</v>
      </c>
      <c r="H118" s="63">
        <v>6195.2568731878009</v>
      </c>
      <c r="I118" s="63">
        <v>8902.7419913077811</v>
      </c>
      <c r="J118" s="63">
        <v>11164.618002033025</v>
      </c>
      <c r="K118" s="63">
        <v>13508.396369090789</v>
      </c>
      <c r="L118" s="18">
        <v>4</v>
      </c>
      <c r="M118" s="65">
        <v>1.5</v>
      </c>
      <c r="N118" s="66">
        <v>3637.1195144853737</v>
      </c>
      <c r="O118" s="66">
        <v>4130.1712487918676</v>
      </c>
      <c r="P118" s="66">
        <v>5935.1613275385207</v>
      </c>
      <c r="Q118" s="66">
        <v>7443.0786680220162</v>
      </c>
      <c r="R118" s="66">
        <v>9005.5975793938596</v>
      </c>
      <c r="S118" s="67">
        <v>7443.0786680220162</v>
      </c>
      <c r="T118" s="46" t="s">
        <v>150</v>
      </c>
      <c r="U118" s="46" t="s">
        <v>145</v>
      </c>
      <c r="V118" s="110"/>
      <c r="W118" s="103"/>
      <c r="X118" s="92"/>
      <c r="Y118" s="92"/>
      <c r="AA118" s="89"/>
      <c r="AB118" s="89"/>
      <c r="AC118" s="90"/>
      <c r="AD118" s="90"/>
      <c r="AE118" s="91"/>
      <c r="AF118" s="91"/>
    </row>
    <row r="119" spans="1:32" s="46" customFormat="1" x14ac:dyDescent="0.35">
      <c r="A119" s="68" t="s">
        <v>54</v>
      </c>
      <c r="B119" s="46" t="s">
        <v>19</v>
      </c>
      <c r="C119" s="46">
        <v>2024</v>
      </c>
      <c r="D119" s="46" t="s">
        <v>140</v>
      </c>
      <c r="E119" s="46" t="s">
        <v>28</v>
      </c>
      <c r="F119" s="69" t="s">
        <v>5</v>
      </c>
      <c r="G119" s="63">
        <v>3768.8229851280062</v>
      </c>
      <c r="H119" s="63">
        <v>6419.5928699764318</v>
      </c>
      <c r="I119" s="63">
        <v>9225.1185351143267</v>
      </c>
      <c r="J119" s="63">
        <v>11568.899173825923</v>
      </c>
      <c r="K119" s="63">
        <v>13997.547929148152</v>
      </c>
      <c r="L119" s="18">
        <v>4</v>
      </c>
      <c r="M119" s="65">
        <v>1.5</v>
      </c>
      <c r="N119" s="66">
        <v>3768.8229851280062</v>
      </c>
      <c r="O119" s="66">
        <v>4279.7285799842875</v>
      </c>
      <c r="P119" s="66">
        <v>6150.0790234095512</v>
      </c>
      <c r="Q119" s="66">
        <v>7712.5994492172822</v>
      </c>
      <c r="R119" s="66">
        <v>9331.6986194321016</v>
      </c>
      <c r="S119" s="67">
        <v>7712.5994492172822</v>
      </c>
      <c r="T119" s="46" t="s">
        <v>150</v>
      </c>
      <c r="U119" s="46" t="s">
        <v>145</v>
      </c>
      <c r="V119" s="110"/>
      <c r="W119" s="103"/>
      <c r="X119" s="92"/>
      <c r="Y119" s="92"/>
      <c r="AA119" s="89"/>
      <c r="AB119" s="89"/>
      <c r="AC119" s="90"/>
      <c r="AD119" s="90"/>
      <c r="AE119" s="91"/>
      <c r="AF119" s="91"/>
    </row>
    <row r="120" spans="1:32" s="46" customFormat="1" x14ac:dyDescent="0.35">
      <c r="A120" s="68" t="s">
        <v>54</v>
      </c>
      <c r="B120" s="46" t="s">
        <v>19</v>
      </c>
      <c r="C120" s="46">
        <v>2025</v>
      </c>
      <c r="D120" s="46" t="s">
        <v>140</v>
      </c>
      <c r="E120" s="46" t="s">
        <v>28</v>
      </c>
      <c r="F120" s="69" t="s">
        <v>5</v>
      </c>
      <c r="G120" s="63">
        <v>3893.5710259357429</v>
      </c>
      <c r="H120" s="63">
        <v>6632.0813939726513</v>
      </c>
      <c r="I120" s="63">
        <v>9530.4699586266106</v>
      </c>
      <c r="J120" s="63">
        <v>11951.82973647956</v>
      </c>
      <c r="K120" s="63">
        <v>14460.866765602954</v>
      </c>
      <c r="L120" s="18">
        <v>4</v>
      </c>
      <c r="M120" s="65">
        <v>1.5</v>
      </c>
      <c r="N120" s="66">
        <v>3893.5710259357429</v>
      </c>
      <c r="O120" s="66">
        <v>4421.3875959817678</v>
      </c>
      <c r="P120" s="66">
        <v>6353.6466390844071</v>
      </c>
      <c r="Q120" s="66">
        <v>7967.8864909863732</v>
      </c>
      <c r="R120" s="66">
        <v>9640.5778437353019</v>
      </c>
      <c r="S120" s="67">
        <v>7967.8864909863732</v>
      </c>
      <c r="T120" s="46" t="s">
        <v>150</v>
      </c>
      <c r="U120" s="46" t="s">
        <v>145</v>
      </c>
      <c r="V120" s="110"/>
      <c r="W120" s="103"/>
      <c r="X120" s="92"/>
      <c r="Y120" s="92"/>
      <c r="AA120" s="89"/>
      <c r="AB120" s="91"/>
      <c r="AC120" s="90"/>
      <c r="AD120" s="90"/>
      <c r="AE120" s="91"/>
      <c r="AF120" s="91"/>
    </row>
    <row r="121" spans="1:32" x14ac:dyDescent="0.35">
      <c r="A121" s="23" t="s">
        <v>54</v>
      </c>
      <c r="B121" t="s">
        <v>19</v>
      </c>
      <c r="C121">
        <v>2020</v>
      </c>
      <c r="D121" t="s">
        <v>60</v>
      </c>
      <c r="E121" t="s">
        <v>29</v>
      </c>
      <c r="F121" s="9" t="s">
        <v>5</v>
      </c>
      <c r="G121" s="15">
        <v>3166.3693510661215</v>
      </c>
      <c r="H121" s="15">
        <v>5430.7400632208528</v>
      </c>
      <c r="I121" s="15">
        <v>7807.5465664469421</v>
      </c>
      <c r="J121" s="15">
        <v>9667.76536219013</v>
      </c>
      <c r="K121" s="15">
        <v>11815.983865526186</v>
      </c>
      <c r="L121" s="18">
        <v>4</v>
      </c>
      <c r="M121" s="19">
        <v>1.5</v>
      </c>
      <c r="N121" s="43">
        <v>3166.3693510661215</v>
      </c>
      <c r="O121" s="43">
        <v>3620.4933754805684</v>
      </c>
      <c r="P121" s="43">
        <v>5205.0310442979617</v>
      </c>
      <c r="Q121" s="43">
        <v>6445.176908126753</v>
      </c>
      <c r="R121" s="43">
        <v>7877.3225770174577</v>
      </c>
      <c r="S121" s="41">
        <v>6445.176908126753</v>
      </c>
      <c r="T121" t="s">
        <v>150</v>
      </c>
      <c r="U121" s="25" t="s">
        <v>145</v>
      </c>
      <c r="AA121" s="89"/>
      <c r="AB121" s="89"/>
      <c r="AC121" s="90"/>
      <c r="AD121" s="90"/>
      <c r="AE121" s="91"/>
      <c r="AF121" s="91"/>
    </row>
    <row r="122" spans="1:32" x14ac:dyDescent="0.35">
      <c r="A122" s="23" t="s">
        <v>54</v>
      </c>
      <c r="B122" t="s">
        <v>19</v>
      </c>
      <c r="C122">
        <v>2020</v>
      </c>
      <c r="D122" t="s">
        <v>60</v>
      </c>
      <c r="E122" t="s">
        <v>29</v>
      </c>
      <c r="F122" s="10" t="s">
        <v>6</v>
      </c>
      <c r="G122" s="15">
        <v>1344.3259499999999</v>
      </c>
      <c r="H122" s="15">
        <v>2308.5692798305499</v>
      </c>
      <c r="I122" s="15">
        <v>3504.1253985737999</v>
      </c>
      <c r="J122" s="15">
        <v>4359.07771732125</v>
      </c>
      <c r="K122" s="15">
        <v>5258.9197681911</v>
      </c>
      <c r="L122" s="18">
        <v>4</v>
      </c>
      <c r="M122" s="19">
        <v>1.5</v>
      </c>
      <c r="N122" s="43">
        <v>3166.3693510661215</v>
      </c>
      <c r="O122" s="43">
        <v>3620.4933754805684</v>
      </c>
      <c r="P122" s="43">
        <v>5205.0310442979617</v>
      </c>
      <c r="Q122" s="43">
        <v>6445.176908126753</v>
      </c>
      <c r="R122" s="43">
        <v>7877.3225770174577</v>
      </c>
      <c r="S122" s="41">
        <v>6445.176908126753</v>
      </c>
      <c r="T122" t="s">
        <v>150</v>
      </c>
      <c r="U122" s="25" t="s">
        <v>145</v>
      </c>
      <c r="AA122" s="89"/>
      <c r="AB122" s="89"/>
      <c r="AC122" s="90"/>
      <c r="AD122" s="90"/>
      <c r="AE122" s="91"/>
      <c r="AF122" s="91"/>
    </row>
    <row r="123" spans="1:32" x14ac:dyDescent="0.35">
      <c r="A123" s="23" t="s">
        <v>54</v>
      </c>
      <c r="B123" t="s">
        <v>19</v>
      </c>
      <c r="C123">
        <v>2020</v>
      </c>
      <c r="D123" t="s">
        <v>60</v>
      </c>
      <c r="E123" t="s">
        <v>29</v>
      </c>
      <c r="F123" s="10" t="s">
        <v>7</v>
      </c>
      <c r="G123" s="15">
        <v>457.67797696612166</v>
      </c>
      <c r="H123" s="15">
        <v>769.16125078388598</v>
      </c>
      <c r="I123" s="15">
        <v>1047.3457057095031</v>
      </c>
      <c r="J123" s="15">
        <v>1276.2350387700303</v>
      </c>
      <c r="K123" s="15">
        <v>1573.2222780233465</v>
      </c>
      <c r="L123" s="18">
        <v>4</v>
      </c>
      <c r="M123" s="19">
        <v>1.5</v>
      </c>
      <c r="N123" s="43">
        <v>3166.3693510661215</v>
      </c>
      <c r="O123" s="43">
        <v>3620.4933754805684</v>
      </c>
      <c r="P123" s="43">
        <v>5205.0310442979617</v>
      </c>
      <c r="Q123" s="43">
        <v>6445.176908126753</v>
      </c>
      <c r="R123" s="43">
        <v>7877.3225770174577</v>
      </c>
      <c r="S123" s="41">
        <v>6445.176908126753</v>
      </c>
      <c r="T123" t="s">
        <v>150</v>
      </c>
      <c r="U123" s="25" t="s">
        <v>145</v>
      </c>
      <c r="AA123" s="89"/>
      <c r="AB123" s="89"/>
      <c r="AC123" s="90"/>
      <c r="AD123" s="90"/>
      <c r="AE123" s="91"/>
      <c r="AF123" s="91"/>
    </row>
    <row r="124" spans="1:32" x14ac:dyDescent="0.35">
      <c r="A124" s="23" t="s">
        <v>54</v>
      </c>
      <c r="B124" t="s">
        <v>19</v>
      </c>
      <c r="C124">
        <v>2020</v>
      </c>
      <c r="D124" t="s">
        <v>60</v>
      </c>
      <c r="E124" t="s">
        <v>29</v>
      </c>
      <c r="F124" s="3" t="s">
        <v>8</v>
      </c>
      <c r="G124" s="15">
        <v>188.13010399999999</v>
      </c>
      <c r="H124" s="15">
        <v>376.26021199999997</v>
      </c>
      <c r="I124" s="15">
        <v>564.39031799999998</v>
      </c>
      <c r="J124" s="15">
        <v>752.52041599999995</v>
      </c>
      <c r="K124" s="15">
        <v>940.65052999999989</v>
      </c>
      <c r="L124" s="18">
        <v>4</v>
      </c>
      <c r="M124" s="19">
        <v>1.5</v>
      </c>
      <c r="N124" s="43">
        <v>3166.3693510661215</v>
      </c>
      <c r="O124" s="43">
        <v>3620.4933754805684</v>
      </c>
      <c r="P124" s="43">
        <v>5205.0310442979617</v>
      </c>
      <c r="Q124" s="43">
        <v>6445.176908126753</v>
      </c>
      <c r="R124" s="43">
        <v>7877.3225770174577</v>
      </c>
      <c r="S124" s="41">
        <v>6445.176908126753</v>
      </c>
      <c r="T124" t="s">
        <v>150</v>
      </c>
      <c r="U124" s="25" t="s">
        <v>145</v>
      </c>
      <c r="AA124" s="89"/>
      <c r="AB124" s="89"/>
      <c r="AC124" s="90"/>
      <c r="AD124" s="90"/>
      <c r="AE124" s="91"/>
      <c r="AF124" s="91"/>
    </row>
    <row r="125" spans="1:32" x14ac:dyDescent="0.35">
      <c r="A125" s="23" t="s">
        <v>54</v>
      </c>
      <c r="B125" t="s">
        <v>19</v>
      </c>
      <c r="C125">
        <v>2020</v>
      </c>
      <c r="D125" t="s">
        <v>60</v>
      </c>
      <c r="E125" t="s">
        <v>29</v>
      </c>
      <c r="F125" s="3" t="s">
        <v>9</v>
      </c>
      <c r="G125" s="15">
        <v>1176.2353200999999</v>
      </c>
      <c r="H125" s="15">
        <v>1976.7493206064171</v>
      </c>
      <c r="I125" s="15">
        <v>2691.6851441636391</v>
      </c>
      <c r="J125" s="15">
        <v>3279.9321900988498</v>
      </c>
      <c r="K125" s="15">
        <v>4043.1912893117392</v>
      </c>
      <c r="L125" s="18">
        <v>4</v>
      </c>
      <c r="M125" s="19">
        <v>1.5</v>
      </c>
      <c r="N125" s="43">
        <v>3166.3693510661215</v>
      </c>
      <c r="O125" s="43">
        <v>3620.4933754805684</v>
      </c>
      <c r="P125" s="43">
        <v>5205.0310442979617</v>
      </c>
      <c r="Q125" s="43">
        <v>6445.176908126753</v>
      </c>
      <c r="R125" s="43">
        <v>7877.3225770174577</v>
      </c>
      <c r="S125" s="41">
        <v>6445.176908126753</v>
      </c>
      <c r="T125" t="s">
        <v>150</v>
      </c>
      <c r="U125" s="25" t="s">
        <v>145</v>
      </c>
      <c r="AA125" s="89"/>
      <c r="AB125" s="89"/>
      <c r="AC125" s="90"/>
      <c r="AD125" s="90"/>
      <c r="AE125" s="91"/>
      <c r="AF125" s="91"/>
    </row>
    <row r="126" spans="1:32" s="46" customFormat="1" x14ac:dyDescent="0.35">
      <c r="A126" s="68" t="s">
        <v>54</v>
      </c>
      <c r="B126" s="46" t="s">
        <v>19</v>
      </c>
      <c r="C126" s="46">
        <v>2021</v>
      </c>
      <c r="D126" s="46" t="s">
        <v>140</v>
      </c>
      <c r="E126" s="46" t="s">
        <v>29</v>
      </c>
      <c r="F126" s="69" t="s">
        <v>5</v>
      </c>
      <c r="G126" s="63">
        <v>3224.4632218605452</v>
      </c>
      <c r="H126" s="63">
        <v>5530.3786955379028</v>
      </c>
      <c r="I126" s="63">
        <v>7950.792837227038</v>
      </c>
      <c r="J126" s="63">
        <v>9845.1413564444883</v>
      </c>
      <c r="K126" s="63">
        <v>12032.773558668507</v>
      </c>
      <c r="L126" s="18">
        <v>4</v>
      </c>
      <c r="M126" s="65">
        <v>1.5</v>
      </c>
      <c r="N126" s="66">
        <v>3224.4632218605452</v>
      </c>
      <c r="O126" s="66">
        <v>3686.9191303586017</v>
      </c>
      <c r="P126" s="66">
        <v>5300.528558151359</v>
      </c>
      <c r="Q126" s="66">
        <v>6563.4275709629919</v>
      </c>
      <c r="R126" s="66">
        <v>8021.8490391123378</v>
      </c>
      <c r="S126" s="67">
        <v>6563.4275709629919</v>
      </c>
      <c r="T126" s="46" t="s">
        <v>150</v>
      </c>
      <c r="U126" s="46" t="s">
        <v>145</v>
      </c>
      <c r="V126" s="110"/>
      <c r="W126" s="103"/>
      <c r="X126" s="92"/>
      <c r="Y126" s="92"/>
      <c r="AA126" s="89"/>
      <c r="AB126" s="89"/>
      <c r="AC126" s="90"/>
      <c r="AD126" s="90"/>
      <c r="AE126" s="91"/>
      <c r="AF126" s="91"/>
    </row>
    <row r="127" spans="1:32" s="46" customFormat="1" x14ac:dyDescent="0.35">
      <c r="A127" s="68" t="s">
        <v>54</v>
      </c>
      <c r="B127" s="46" t="s">
        <v>19</v>
      </c>
      <c r="C127" s="46">
        <v>2022</v>
      </c>
      <c r="D127" s="46" t="s">
        <v>140</v>
      </c>
      <c r="E127" s="46" t="s">
        <v>29</v>
      </c>
      <c r="F127" s="69" t="s">
        <v>5</v>
      </c>
      <c r="G127" s="63">
        <v>3326.2436452814263</v>
      </c>
      <c r="H127" s="63">
        <v>5704.9455138205685</v>
      </c>
      <c r="I127" s="63">
        <v>8201.7602094142585</v>
      </c>
      <c r="J127" s="63">
        <v>10155.903981709962</v>
      </c>
      <c r="K127" s="63">
        <v>12412.588958461531</v>
      </c>
      <c r="L127" s="18">
        <v>4</v>
      </c>
      <c r="M127" s="65">
        <v>1.5</v>
      </c>
      <c r="N127" s="66">
        <v>3326.2436452814263</v>
      </c>
      <c r="O127" s="66">
        <v>3803.2970092137125</v>
      </c>
      <c r="P127" s="66">
        <v>5467.840139609506</v>
      </c>
      <c r="Q127" s="66">
        <v>6770.6026544733077</v>
      </c>
      <c r="R127" s="66">
        <v>8275.0593056410198</v>
      </c>
      <c r="S127" s="67">
        <v>6770.6026544733077</v>
      </c>
      <c r="T127" s="46" t="s">
        <v>150</v>
      </c>
      <c r="U127" s="46" t="s">
        <v>145</v>
      </c>
      <c r="V127" s="110"/>
      <c r="W127" s="103"/>
      <c r="X127" s="92"/>
      <c r="Y127" s="92"/>
      <c r="AA127" s="89"/>
      <c r="AB127" s="89"/>
      <c r="AC127" s="90"/>
      <c r="AD127" s="90"/>
      <c r="AE127" s="91"/>
      <c r="AF127" s="91"/>
    </row>
    <row r="128" spans="1:32" s="46" customFormat="1" x14ac:dyDescent="0.35">
      <c r="A128" s="68" t="s">
        <v>54</v>
      </c>
      <c r="B128" s="46" t="s">
        <v>19</v>
      </c>
      <c r="C128" s="46">
        <v>2023</v>
      </c>
      <c r="D128" s="46" t="s">
        <v>140</v>
      </c>
      <c r="E128" s="46" t="s">
        <v>29</v>
      </c>
      <c r="F128" s="69" t="s">
        <v>5</v>
      </c>
      <c r="G128" s="63">
        <v>3434.442786216573</v>
      </c>
      <c r="H128" s="63">
        <v>5890.5212772054474</v>
      </c>
      <c r="I128" s="63">
        <v>8468.5546789275122</v>
      </c>
      <c r="J128" s="63">
        <v>10486.264653815171</v>
      </c>
      <c r="K128" s="63">
        <v>12816.357174296181</v>
      </c>
      <c r="L128" s="18">
        <v>4</v>
      </c>
      <c r="M128" s="65">
        <v>1.5</v>
      </c>
      <c r="N128" s="66">
        <v>3434.442786216573</v>
      </c>
      <c r="O128" s="66">
        <v>3927.0141848036315</v>
      </c>
      <c r="P128" s="66">
        <v>5645.7031192850081</v>
      </c>
      <c r="Q128" s="66">
        <v>6990.8431025434475</v>
      </c>
      <c r="R128" s="66">
        <v>8544.2381161974536</v>
      </c>
      <c r="S128" s="67">
        <v>6990.8431025434475</v>
      </c>
      <c r="T128" s="46" t="s">
        <v>150</v>
      </c>
      <c r="U128" s="46" t="s">
        <v>145</v>
      </c>
      <c r="V128" s="110"/>
      <c r="W128" s="103"/>
      <c r="X128" s="92"/>
      <c r="Y128" s="92"/>
      <c r="AA128" s="89"/>
      <c r="AB128" s="89"/>
      <c r="AC128" s="90"/>
      <c r="AD128" s="90"/>
      <c r="AE128" s="91"/>
      <c r="AF128" s="91"/>
    </row>
    <row r="129" spans="1:32" s="46" customFormat="1" x14ac:dyDescent="0.35">
      <c r="A129" s="68" t="s">
        <v>54</v>
      </c>
      <c r="B129" s="46" t="s">
        <v>19</v>
      </c>
      <c r="C129" s="46">
        <v>2024</v>
      </c>
      <c r="D129" s="46" t="s">
        <v>140</v>
      </c>
      <c r="E129" s="46" t="s">
        <v>29</v>
      </c>
      <c r="F129" s="69" t="s">
        <v>5</v>
      </c>
      <c r="G129" s="63">
        <v>3558.8071445685082</v>
      </c>
      <c r="H129" s="63">
        <v>6103.8225154552447</v>
      </c>
      <c r="I129" s="63">
        <v>8775.2088974924118</v>
      </c>
      <c r="J129" s="63">
        <v>10865.98202177195</v>
      </c>
      <c r="K129" s="63">
        <v>13280.449353320781</v>
      </c>
      <c r="L129" s="18">
        <v>4</v>
      </c>
      <c r="M129" s="65">
        <v>1.5</v>
      </c>
      <c r="N129" s="66">
        <v>3558.8071445685082</v>
      </c>
      <c r="O129" s="66">
        <v>4069.2150103034965</v>
      </c>
      <c r="P129" s="66">
        <v>5850.1392649949412</v>
      </c>
      <c r="Q129" s="66">
        <v>7243.9880145146335</v>
      </c>
      <c r="R129" s="66">
        <v>8853.6329022138543</v>
      </c>
      <c r="S129" s="67">
        <v>7243.9880145146335</v>
      </c>
      <c r="T129" s="46" t="s">
        <v>150</v>
      </c>
      <c r="U129" s="46" t="s">
        <v>145</v>
      </c>
      <c r="V129" s="110"/>
      <c r="W129" s="103"/>
      <c r="X129" s="92"/>
      <c r="Y129" s="92"/>
      <c r="AA129" s="89"/>
      <c r="AB129" s="89"/>
      <c r="AC129" s="90"/>
      <c r="AD129" s="90"/>
      <c r="AE129" s="91"/>
      <c r="AF129" s="91"/>
    </row>
    <row r="130" spans="1:32" s="46" customFormat="1" x14ac:dyDescent="0.35">
      <c r="A130" s="68" t="s">
        <v>54</v>
      </c>
      <c r="B130" s="46" t="s">
        <v>19</v>
      </c>
      <c r="C130" s="46">
        <v>2025</v>
      </c>
      <c r="D130" s="46" t="s">
        <v>140</v>
      </c>
      <c r="E130" s="46" t="s">
        <v>29</v>
      </c>
      <c r="F130" s="69" t="s">
        <v>5</v>
      </c>
      <c r="G130" s="63">
        <v>3676.6036610537253</v>
      </c>
      <c r="H130" s="63">
        <v>6305.8590407168131</v>
      </c>
      <c r="I130" s="63">
        <v>9065.6683119994104</v>
      </c>
      <c r="J130" s="63">
        <v>11225.646026692601</v>
      </c>
      <c r="K130" s="63">
        <v>13720.032226915697</v>
      </c>
      <c r="L130" s="18">
        <v>4</v>
      </c>
      <c r="M130" s="65">
        <v>1.5</v>
      </c>
      <c r="N130" s="66">
        <v>3676.6036610537253</v>
      </c>
      <c r="O130" s="66">
        <v>4203.9060271445423</v>
      </c>
      <c r="P130" s="66">
        <v>6043.7788746662736</v>
      </c>
      <c r="Q130" s="66">
        <v>7483.764017795067</v>
      </c>
      <c r="R130" s="66">
        <v>9146.6881512771306</v>
      </c>
      <c r="S130" s="67">
        <v>7483.764017795067</v>
      </c>
      <c r="T130" s="46" t="s">
        <v>150</v>
      </c>
      <c r="U130" s="46" t="s">
        <v>145</v>
      </c>
      <c r="V130" s="110"/>
      <c r="W130" s="103"/>
      <c r="X130" s="92"/>
      <c r="Y130" s="92"/>
      <c r="AA130" s="89"/>
      <c r="AB130" s="91"/>
      <c r="AC130" s="90"/>
      <c r="AD130" s="90"/>
      <c r="AE130" s="91"/>
      <c r="AF130" s="91"/>
    </row>
    <row r="131" spans="1:32" x14ac:dyDescent="0.35">
      <c r="A131" s="23" t="s">
        <v>54</v>
      </c>
      <c r="B131" t="s">
        <v>19</v>
      </c>
      <c r="C131">
        <v>2020</v>
      </c>
      <c r="D131" t="s">
        <v>60</v>
      </c>
      <c r="E131" t="s">
        <v>30</v>
      </c>
      <c r="F131" s="9" t="s">
        <v>5</v>
      </c>
      <c r="G131" s="15">
        <v>3984.078551674495</v>
      </c>
      <c r="H131" s="15">
        <v>6758.3001243151439</v>
      </c>
      <c r="I131" s="15">
        <v>9748.9968331024284</v>
      </c>
      <c r="J131" s="15">
        <v>12330.415900804357</v>
      </c>
      <c r="K131" s="15">
        <v>15051.301581705466</v>
      </c>
      <c r="L131" s="18">
        <v>4</v>
      </c>
      <c r="M131" s="19">
        <v>1.5</v>
      </c>
      <c r="N131" s="43">
        <v>3984.078551674495</v>
      </c>
      <c r="O131" s="43">
        <v>4505.5334162100962</v>
      </c>
      <c r="P131" s="43">
        <v>6499.3312220682856</v>
      </c>
      <c r="Q131" s="43">
        <v>8220.2772672029041</v>
      </c>
      <c r="R131" s="43">
        <v>10034.20105447031</v>
      </c>
      <c r="S131" s="41">
        <v>8220.2772672029041</v>
      </c>
      <c r="T131" t="s">
        <v>150</v>
      </c>
      <c r="U131" s="25" t="s">
        <v>145</v>
      </c>
      <c r="AA131" s="89"/>
      <c r="AB131" s="89"/>
      <c r="AC131" s="90"/>
      <c r="AD131" s="90"/>
      <c r="AE131" s="91"/>
      <c r="AF131" s="91"/>
    </row>
    <row r="132" spans="1:32" x14ac:dyDescent="0.35">
      <c r="A132" s="23" t="s">
        <v>54</v>
      </c>
      <c r="B132" t="s">
        <v>19</v>
      </c>
      <c r="C132">
        <v>2020</v>
      </c>
      <c r="D132" t="s">
        <v>60</v>
      </c>
      <c r="E132" t="s">
        <v>30</v>
      </c>
      <c r="F132" s="10" t="s">
        <v>6</v>
      </c>
      <c r="G132" s="15">
        <v>1458.4320449999998</v>
      </c>
      <c r="H132" s="15">
        <v>2397.2276692305895</v>
      </c>
      <c r="I132" s="15">
        <v>3718.3220854170295</v>
      </c>
      <c r="J132" s="15">
        <v>4787.3586081302092</v>
      </c>
      <c r="K132" s="15">
        <v>5836.0602128399541</v>
      </c>
      <c r="L132" s="18">
        <v>4</v>
      </c>
      <c r="M132" s="19">
        <v>1.5</v>
      </c>
      <c r="N132" s="43">
        <v>3984.078551674495</v>
      </c>
      <c r="O132" s="43">
        <v>4505.5334162100962</v>
      </c>
      <c r="P132" s="43">
        <v>6499.3312220682856</v>
      </c>
      <c r="Q132" s="43">
        <v>8220.2772672029041</v>
      </c>
      <c r="R132" s="43">
        <v>10034.20105447031</v>
      </c>
      <c r="S132" s="41">
        <v>8220.2772672029041</v>
      </c>
      <c r="T132" t="s">
        <v>150</v>
      </c>
      <c r="U132" s="25" t="s">
        <v>145</v>
      </c>
      <c r="AA132" s="89"/>
      <c r="AB132" s="89"/>
      <c r="AC132" s="90"/>
      <c r="AD132" s="90"/>
      <c r="AE132" s="91"/>
      <c r="AF132" s="91"/>
    </row>
    <row r="133" spans="1:32" x14ac:dyDescent="0.35">
      <c r="A133" s="23" t="s">
        <v>54</v>
      </c>
      <c r="B133" t="s">
        <v>19</v>
      </c>
      <c r="C133">
        <v>2020</v>
      </c>
      <c r="D133" t="s">
        <v>60</v>
      </c>
      <c r="E133" t="s">
        <v>30</v>
      </c>
      <c r="F133" s="10" t="s">
        <v>7</v>
      </c>
      <c r="G133" s="15">
        <v>929.1754427744952</v>
      </c>
      <c r="H133" s="15">
        <v>1562.5004953941484</v>
      </c>
      <c r="I133" s="15">
        <v>2124.7482725187665</v>
      </c>
      <c r="J133" s="15">
        <v>2619.6066714807216</v>
      </c>
      <c r="K133" s="15">
        <v>3182.961096557684</v>
      </c>
      <c r="L133" s="18">
        <v>4</v>
      </c>
      <c r="M133" s="19">
        <v>1.5</v>
      </c>
      <c r="N133" s="43">
        <v>3984.078551674495</v>
      </c>
      <c r="O133" s="43">
        <v>4505.5334162100962</v>
      </c>
      <c r="P133" s="43">
        <v>6499.3312220682856</v>
      </c>
      <c r="Q133" s="43">
        <v>8220.2772672029041</v>
      </c>
      <c r="R133" s="43">
        <v>10034.20105447031</v>
      </c>
      <c r="S133" s="41">
        <v>8220.2772672029041</v>
      </c>
      <c r="T133" t="s">
        <v>150</v>
      </c>
      <c r="U133" s="25" t="s">
        <v>145</v>
      </c>
      <c r="AA133" s="89"/>
      <c r="AB133" s="89"/>
      <c r="AC133" s="90"/>
      <c r="AD133" s="90"/>
      <c r="AE133" s="91"/>
      <c r="AF133" s="91"/>
    </row>
    <row r="134" spans="1:32" x14ac:dyDescent="0.35">
      <c r="A134" s="23" t="s">
        <v>54</v>
      </c>
      <c r="B134" t="s">
        <v>19</v>
      </c>
      <c r="C134">
        <v>2020</v>
      </c>
      <c r="D134" t="s">
        <v>60</v>
      </c>
      <c r="E134" t="s">
        <v>30</v>
      </c>
      <c r="F134" s="3" t="s">
        <v>8</v>
      </c>
      <c r="G134" s="15">
        <v>357.87522999999999</v>
      </c>
      <c r="H134" s="15">
        <v>715.75044400000002</v>
      </c>
      <c r="I134" s="15">
        <v>1073.6256659999999</v>
      </c>
      <c r="J134" s="15">
        <v>1431.50092</v>
      </c>
      <c r="K134" s="15">
        <v>1789.3761100000002</v>
      </c>
      <c r="L134" s="18">
        <v>4</v>
      </c>
      <c r="M134" s="19">
        <v>1.5</v>
      </c>
      <c r="N134" s="43">
        <v>3984.078551674495</v>
      </c>
      <c r="O134" s="43">
        <v>4505.5334162100962</v>
      </c>
      <c r="P134" s="43">
        <v>6499.3312220682856</v>
      </c>
      <c r="Q134" s="43">
        <v>8220.2772672029041</v>
      </c>
      <c r="R134" s="43">
        <v>10034.20105447031</v>
      </c>
      <c r="S134" s="41">
        <v>8220.2772672029041</v>
      </c>
      <c r="T134" t="s">
        <v>150</v>
      </c>
      <c r="U134" s="25" t="s">
        <v>145</v>
      </c>
      <c r="AA134" s="89"/>
      <c r="AB134" s="89"/>
      <c r="AC134" s="90"/>
      <c r="AD134" s="90"/>
      <c r="AE134" s="91"/>
      <c r="AF134" s="91"/>
    </row>
    <row r="135" spans="1:32" x14ac:dyDescent="0.35">
      <c r="A135" s="23" t="s">
        <v>54</v>
      </c>
      <c r="B135" t="s">
        <v>19</v>
      </c>
      <c r="C135">
        <v>2020</v>
      </c>
      <c r="D135" t="s">
        <v>60</v>
      </c>
      <c r="E135" t="s">
        <v>30</v>
      </c>
      <c r="F135" s="3" t="s">
        <v>9</v>
      </c>
      <c r="G135" s="15">
        <v>1238.5958339000001</v>
      </c>
      <c r="H135" s="15">
        <v>2082.8215156904062</v>
      </c>
      <c r="I135" s="15">
        <v>2832.300809166632</v>
      </c>
      <c r="J135" s="15">
        <v>3491.9497011934263</v>
      </c>
      <c r="K135" s="15">
        <v>4242.9041623078265</v>
      </c>
      <c r="L135" s="18">
        <v>4</v>
      </c>
      <c r="M135" s="19">
        <v>1.5</v>
      </c>
      <c r="N135" s="43">
        <v>3984.078551674495</v>
      </c>
      <c r="O135" s="43">
        <v>4505.5334162100962</v>
      </c>
      <c r="P135" s="43">
        <v>6499.3312220682856</v>
      </c>
      <c r="Q135" s="43">
        <v>8220.2772672029041</v>
      </c>
      <c r="R135" s="43">
        <v>10034.20105447031</v>
      </c>
      <c r="S135" s="41">
        <v>8220.2772672029041</v>
      </c>
      <c r="T135" t="s">
        <v>150</v>
      </c>
      <c r="U135" s="25" t="s">
        <v>145</v>
      </c>
      <c r="AA135" s="89"/>
      <c r="AB135" s="89"/>
      <c r="AC135" s="90"/>
      <c r="AD135" s="90"/>
      <c r="AE135" s="91"/>
      <c r="AF135" s="91"/>
    </row>
    <row r="136" spans="1:32" s="46" customFormat="1" x14ac:dyDescent="0.35">
      <c r="A136" s="68" t="s">
        <v>54</v>
      </c>
      <c r="B136" s="46" t="s">
        <v>19</v>
      </c>
      <c r="C136" s="46">
        <v>2021</v>
      </c>
      <c r="D136" s="46" t="s">
        <v>140</v>
      </c>
      <c r="E136" s="46" t="s">
        <v>30</v>
      </c>
      <c r="F136" s="69" t="s">
        <v>5</v>
      </c>
      <c r="G136" s="63">
        <v>4054.5967420391339</v>
      </c>
      <c r="H136" s="63">
        <v>6877.9220365155224</v>
      </c>
      <c r="I136" s="63">
        <v>9921.5540770483422</v>
      </c>
      <c r="J136" s="63">
        <v>12548.664262248594</v>
      </c>
      <c r="K136" s="63">
        <v>15317.709619701653</v>
      </c>
      <c r="L136" s="18">
        <v>4</v>
      </c>
      <c r="M136" s="65">
        <v>1.5</v>
      </c>
      <c r="N136" s="66">
        <v>4054.5967420391339</v>
      </c>
      <c r="O136" s="66">
        <v>4585.281357677015</v>
      </c>
      <c r="P136" s="66">
        <v>6614.3693846988945</v>
      </c>
      <c r="Q136" s="66">
        <v>8365.7761748323956</v>
      </c>
      <c r="R136" s="66">
        <v>10211.806413134434</v>
      </c>
      <c r="S136" s="67">
        <v>8365.7761748323956</v>
      </c>
      <c r="T136" s="46" t="s">
        <v>150</v>
      </c>
      <c r="U136" s="46" t="s">
        <v>145</v>
      </c>
      <c r="V136" s="110"/>
      <c r="W136" s="103"/>
      <c r="X136" s="92"/>
      <c r="Y136" s="92"/>
      <c r="AA136" s="89"/>
      <c r="AB136" s="89"/>
      <c r="AC136" s="90"/>
      <c r="AD136" s="90"/>
      <c r="AE136" s="91"/>
      <c r="AF136" s="91"/>
    </row>
    <row r="137" spans="1:32" s="46" customFormat="1" x14ac:dyDescent="0.35">
      <c r="A137" s="68" t="s">
        <v>54</v>
      </c>
      <c r="B137" s="46" t="s">
        <v>19</v>
      </c>
      <c r="C137" s="46">
        <v>2022</v>
      </c>
      <c r="D137" s="46" t="s">
        <v>140</v>
      </c>
      <c r="E137" s="46" t="s">
        <v>30</v>
      </c>
      <c r="F137" s="69" t="s">
        <v>5</v>
      </c>
      <c r="G137" s="63">
        <v>4182.5803922814057</v>
      </c>
      <c r="H137" s="63">
        <v>7095.024161416929</v>
      </c>
      <c r="I137" s="63">
        <v>10234.728675570348</v>
      </c>
      <c r="J137" s="63">
        <v>12719.626403448978</v>
      </c>
      <c r="K137" s="63">
        <v>15526.397044924122</v>
      </c>
      <c r="L137" s="18">
        <v>4</v>
      </c>
      <c r="M137" s="65">
        <v>1.5</v>
      </c>
      <c r="N137" s="66">
        <v>4182.5803922814057</v>
      </c>
      <c r="O137" s="66">
        <v>4730.0161076112863</v>
      </c>
      <c r="P137" s="66">
        <v>6823.152450380232</v>
      </c>
      <c r="Q137" s="66">
        <v>8479.7509356326518</v>
      </c>
      <c r="R137" s="66">
        <v>10350.931363282749</v>
      </c>
      <c r="S137" s="67">
        <v>8479.7509356326518</v>
      </c>
      <c r="T137" s="46" t="s">
        <v>150</v>
      </c>
      <c r="U137" s="46" t="s">
        <v>145</v>
      </c>
      <c r="V137" s="110"/>
      <c r="W137" s="103"/>
      <c r="X137" s="92"/>
      <c r="Y137" s="92"/>
      <c r="AA137" s="89"/>
      <c r="AB137" s="89"/>
      <c r="AC137" s="90"/>
      <c r="AD137" s="90"/>
      <c r="AE137" s="91"/>
      <c r="AF137" s="91"/>
    </row>
    <row r="138" spans="1:32" s="46" customFormat="1" x14ac:dyDescent="0.35">
      <c r="A138" s="68" t="s">
        <v>54</v>
      </c>
      <c r="B138" s="46" t="s">
        <v>19</v>
      </c>
      <c r="C138" s="46">
        <v>2023</v>
      </c>
      <c r="D138" s="46" t="s">
        <v>140</v>
      </c>
      <c r="E138" s="46" t="s">
        <v>30</v>
      </c>
      <c r="F138" s="69" t="s">
        <v>5</v>
      </c>
      <c r="G138" s="63">
        <v>4267.9050322839466</v>
      </c>
      <c r="H138" s="63">
        <v>7239.762654309834</v>
      </c>
      <c r="I138" s="63">
        <v>10443.517140551983</v>
      </c>
      <c r="J138" s="63">
        <v>12581.956385180765</v>
      </c>
      <c r="K138" s="63">
        <v>15358.348133972257</v>
      </c>
      <c r="L138" s="18">
        <v>4</v>
      </c>
      <c r="M138" s="65">
        <v>1.5</v>
      </c>
      <c r="N138" s="66">
        <v>4267.9050322839466</v>
      </c>
      <c r="O138" s="66">
        <v>4826.5084362065563</v>
      </c>
      <c r="P138" s="66">
        <v>6962.3447603679888</v>
      </c>
      <c r="Q138" s="66">
        <v>8387.9709234538441</v>
      </c>
      <c r="R138" s="66">
        <v>10238.898755981505</v>
      </c>
      <c r="S138" s="67">
        <v>8387.9709234538441</v>
      </c>
      <c r="T138" s="46" t="s">
        <v>150</v>
      </c>
      <c r="U138" s="46" t="s">
        <v>145</v>
      </c>
      <c r="V138" s="110"/>
      <c r="W138" s="103"/>
      <c r="X138" s="92"/>
      <c r="Y138" s="92"/>
      <c r="AA138" s="89"/>
      <c r="AB138" s="89"/>
      <c r="AC138" s="90"/>
      <c r="AD138" s="90"/>
      <c r="AE138" s="91"/>
      <c r="AF138" s="91"/>
    </row>
    <row r="139" spans="1:32" s="46" customFormat="1" x14ac:dyDescent="0.35">
      <c r="A139" s="68" t="s">
        <v>54</v>
      </c>
      <c r="B139" s="46" t="s">
        <v>19</v>
      </c>
      <c r="C139" s="46">
        <v>2024</v>
      </c>
      <c r="D139" s="46" t="s">
        <v>140</v>
      </c>
      <c r="E139" s="46" t="s">
        <v>30</v>
      </c>
      <c r="F139" s="69" t="s">
        <v>5</v>
      </c>
      <c r="G139" s="63">
        <v>4422.4498315093542</v>
      </c>
      <c r="H139" s="63">
        <v>7501.9211740956316</v>
      </c>
      <c r="I139" s="63">
        <v>10821.686581409946</v>
      </c>
      <c r="J139" s="63">
        <v>12776.911695659428</v>
      </c>
      <c r="K139" s="63">
        <v>15596.323170384285</v>
      </c>
      <c r="L139" s="18">
        <v>4</v>
      </c>
      <c r="M139" s="65">
        <v>1.5</v>
      </c>
      <c r="N139" s="66">
        <v>4422.4498315093542</v>
      </c>
      <c r="O139" s="66">
        <v>5001.2807827304214</v>
      </c>
      <c r="P139" s="66">
        <v>7214.457720939964</v>
      </c>
      <c r="Q139" s="66">
        <v>8517.9411304396181</v>
      </c>
      <c r="R139" s="66">
        <v>10397.548780256189</v>
      </c>
      <c r="S139" s="67">
        <v>8517.9411304396181</v>
      </c>
      <c r="T139" s="46" t="s">
        <v>150</v>
      </c>
      <c r="U139" s="46" t="s">
        <v>145</v>
      </c>
      <c r="V139" s="110"/>
      <c r="W139" s="103"/>
      <c r="X139" s="92"/>
      <c r="Y139" s="92"/>
      <c r="AA139" s="89"/>
      <c r="AB139" s="89"/>
      <c r="AC139" s="90"/>
      <c r="AD139" s="90"/>
      <c r="AE139" s="91"/>
      <c r="AF139" s="91"/>
    </row>
    <row r="140" spans="1:32" s="46" customFormat="1" x14ac:dyDescent="0.35">
      <c r="A140" s="68" t="s">
        <v>54</v>
      </c>
      <c r="B140" s="46" t="s">
        <v>19</v>
      </c>
      <c r="C140" s="46">
        <v>2025</v>
      </c>
      <c r="D140" s="46" t="s">
        <v>140</v>
      </c>
      <c r="E140" s="46" t="s">
        <v>30</v>
      </c>
      <c r="F140" s="69" t="s">
        <v>5</v>
      </c>
      <c r="G140" s="63">
        <v>4568.8329209323138</v>
      </c>
      <c r="H140" s="63">
        <v>7750.2347649581961</v>
      </c>
      <c r="I140" s="63">
        <v>11179.884407254614</v>
      </c>
      <c r="J140" s="63">
        <v>12738.552667120981</v>
      </c>
      <c r="K140" s="63">
        <v>15549.499664059915</v>
      </c>
      <c r="L140" s="18">
        <v>4</v>
      </c>
      <c r="M140" s="65">
        <v>1.5</v>
      </c>
      <c r="N140" s="66">
        <v>4568.8329209323138</v>
      </c>
      <c r="O140" s="66">
        <v>5166.8231766387971</v>
      </c>
      <c r="P140" s="66">
        <v>7453.2562715030763</v>
      </c>
      <c r="Q140" s="66">
        <v>8492.3684447473206</v>
      </c>
      <c r="R140" s="66">
        <v>10366.333109373276</v>
      </c>
      <c r="S140" s="67">
        <v>8492.3684447473206</v>
      </c>
      <c r="T140" s="46" t="s">
        <v>150</v>
      </c>
      <c r="U140" s="46" t="s">
        <v>145</v>
      </c>
      <c r="V140" s="110"/>
      <c r="W140" s="103"/>
      <c r="X140" s="92"/>
      <c r="Y140" s="92"/>
      <c r="AA140" s="89"/>
      <c r="AB140" s="91"/>
      <c r="AC140" s="90"/>
      <c r="AD140" s="90"/>
      <c r="AE140" s="91"/>
      <c r="AF140" s="91"/>
    </row>
    <row r="141" spans="1:32" x14ac:dyDescent="0.35">
      <c r="A141" s="23" t="s">
        <v>54</v>
      </c>
      <c r="B141" t="s">
        <v>19</v>
      </c>
      <c r="C141">
        <v>2020</v>
      </c>
      <c r="D141" t="s">
        <v>60</v>
      </c>
      <c r="E141" t="s">
        <v>31</v>
      </c>
      <c r="F141" s="9" t="s">
        <v>5</v>
      </c>
      <c r="G141" s="15">
        <v>4026.2488526908778</v>
      </c>
      <c r="H141" s="15">
        <v>6909.3324084753585</v>
      </c>
      <c r="I141" s="15">
        <v>9800.7634650725395</v>
      </c>
      <c r="J141" s="15">
        <v>12344.682304635808</v>
      </c>
      <c r="K141" s="15">
        <v>15169.922920297422</v>
      </c>
      <c r="L141" s="18">
        <v>4</v>
      </c>
      <c r="M141" s="19">
        <v>1.5</v>
      </c>
      <c r="N141" s="43">
        <v>4026.2488526908778</v>
      </c>
      <c r="O141" s="43">
        <v>4606.2216056502393</v>
      </c>
      <c r="P141" s="43">
        <v>6533.8423100483596</v>
      </c>
      <c r="Q141" s="43">
        <v>8229.7882030905384</v>
      </c>
      <c r="R141" s="43">
        <v>10113.281946864949</v>
      </c>
      <c r="S141" s="41">
        <v>8229.7882030905384</v>
      </c>
      <c r="T141" t="s">
        <v>150</v>
      </c>
      <c r="U141" s="25" t="s">
        <v>145</v>
      </c>
      <c r="AA141" s="89"/>
      <c r="AB141" s="89"/>
      <c r="AC141" s="90"/>
      <c r="AD141" s="90"/>
      <c r="AE141" s="91"/>
      <c r="AF141" s="91"/>
    </row>
    <row r="142" spans="1:32" x14ac:dyDescent="0.35">
      <c r="A142" s="23" t="s">
        <v>54</v>
      </c>
      <c r="B142" t="s">
        <v>19</v>
      </c>
      <c r="C142">
        <v>2020</v>
      </c>
      <c r="D142" t="s">
        <v>60</v>
      </c>
      <c r="E142" t="s">
        <v>31</v>
      </c>
      <c r="F142" s="10" t="s">
        <v>6</v>
      </c>
      <c r="G142" s="15">
        <v>1633.2610680000003</v>
      </c>
      <c r="H142" s="15">
        <v>2836.3522026490923</v>
      </c>
      <c r="I142" s="15">
        <v>4219.2016837033325</v>
      </c>
      <c r="J142" s="15">
        <v>5404.7319953492888</v>
      </c>
      <c r="K142" s="15">
        <v>6573.0216031614373</v>
      </c>
      <c r="L142" s="18">
        <v>4</v>
      </c>
      <c r="M142" s="19">
        <v>1.5</v>
      </c>
      <c r="N142" s="43">
        <v>4026.2488526908778</v>
      </c>
      <c r="O142" s="43">
        <v>4606.2216056502393</v>
      </c>
      <c r="P142" s="43">
        <v>6533.8423100483596</v>
      </c>
      <c r="Q142" s="43">
        <v>8229.7882030905384</v>
      </c>
      <c r="R142" s="43">
        <v>10113.281946864949</v>
      </c>
      <c r="S142" s="41">
        <v>8229.7882030905384</v>
      </c>
      <c r="T142" t="s">
        <v>150</v>
      </c>
      <c r="U142" s="25" t="s">
        <v>145</v>
      </c>
      <c r="AA142" s="89"/>
      <c r="AB142" s="89"/>
      <c r="AC142" s="90"/>
      <c r="AD142" s="90"/>
      <c r="AE142" s="91"/>
      <c r="AF142" s="91"/>
    </row>
    <row r="143" spans="1:32" x14ac:dyDescent="0.35">
      <c r="A143" s="23" t="s">
        <v>54</v>
      </c>
      <c r="B143" t="s">
        <v>19</v>
      </c>
      <c r="C143">
        <v>2020</v>
      </c>
      <c r="D143" t="s">
        <v>60</v>
      </c>
      <c r="E143" t="s">
        <v>31</v>
      </c>
      <c r="F143" s="10" t="s">
        <v>7</v>
      </c>
      <c r="G143" s="15">
        <v>1278.6308789908778</v>
      </c>
      <c r="H143" s="15">
        <v>2151.8283643478121</v>
      </c>
      <c r="I143" s="15">
        <v>2927.5558177992716</v>
      </c>
      <c r="J143" s="15">
        <v>3617.8784003194146</v>
      </c>
      <c r="K143" s="15">
        <v>4477.97375505933</v>
      </c>
      <c r="L143" s="18">
        <v>4</v>
      </c>
      <c r="M143" s="19">
        <v>1.5</v>
      </c>
      <c r="N143" s="43">
        <v>4026.2488526908778</v>
      </c>
      <c r="O143" s="43">
        <v>4606.2216056502393</v>
      </c>
      <c r="P143" s="43">
        <v>6533.8423100483596</v>
      </c>
      <c r="Q143" s="43">
        <v>8229.7882030905384</v>
      </c>
      <c r="R143" s="43">
        <v>10113.281946864949</v>
      </c>
      <c r="S143" s="41">
        <v>8229.7882030905384</v>
      </c>
      <c r="T143" t="s">
        <v>150</v>
      </c>
      <c r="U143" s="25" t="s">
        <v>145</v>
      </c>
      <c r="AA143" s="89"/>
      <c r="AB143" s="89"/>
      <c r="AC143" s="90"/>
      <c r="AD143" s="90"/>
      <c r="AE143" s="91"/>
      <c r="AF143" s="91"/>
    </row>
    <row r="144" spans="1:32" x14ac:dyDescent="0.35">
      <c r="A144" s="23" t="s">
        <v>54</v>
      </c>
      <c r="B144" t="s">
        <v>19</v>
      </c>
      <c r="C144">
        <v>2020</v>
      </c>
      <c r="D144" t="s">
        <v>60</v>
      </c>
      <c r="E144" t="s">
        <v>31</v>
      </c>
      <c r="F144" s="3" t="s">
        <v>8</v>
      </c>
      <c r="G144" s="15">
        <v>144.386898</v>
      </c>
      <c r="H144" s="15">
        <v>288.773796</v>
      </c>
      <c r="I144" s="15">
        <v>433.16069400000003</v>
      </c>
      <c r="J144" s="15">
        <v>577.54759200000001</v>
      </c>
      <c r="K144" s="15">
        <v>721.93448999999998</v>
      </c>
      <c r="L144" s="18">
        <v>4</v>
      </c>
      <c r="M144" s="19">
        <v>1.5</v>
      </c>
      <c r="N144" s="43">
        <v>4026.2488526908778</v>
      </c>
      <c r="O144" s="43">
        <v>4606.2216056502393</v>
      </c>
      <c r="P144" s="43">
        <v>6533.8423100483596</v>
      </c>
      <c r="Q144" s="43">
        <v>8229.7882030905384</v>
      </c>
      <c r="R144" s="43">
        <v>10113.281946864949</v>
      </c>
      <c r="S144" s="41">
        <v>8229.7882030905384</v>
      </c>
      <c r="T144" t="s">
        <v>150</v>
      </c>
      <c r="U144" s="25" t="s">
        <v>145</v>
      </c>
      <c r="AA144" s="89"/>
      <c r="AB144" s="89"/>
      <c r="AC144" s="90"/>
      <c r="AD144" s="90"/>
      <c r="AE144" s="91"/>
      <c r="AF144" s="91"/>
    </row>
    <row r="145" spans="1:32" x14ac:dyDescent="0.35">
      <c r="A145" s="23" t="s">
        <v>54</v>
      </c>
      <c r="B145" t="s">
        <v>19</v>
      </c>
      <c r="C145">
        <v>2020</v>
      </c>
      <c r="D145" t="s">
        <v>60</v>
      </c>
      <c r="E145" t="s">
        <v>31</v>
      </c>
      <c r="F145" s="3" t="s">
        <v>9</v>
      </c>
      <c r="G145" s="15">
        <v>969.9700077</v>
      </c>
      <c r="H145" s="15">
        <v>1632.3780454784533</v>
      </c>
      <c r="I145" s="15">
        <v>2220.8452695699352</v>
      </c>
      <c r="J145" s="15">
        <v>2744.5243169671039</v>
      </c>
      <c r="K145" s="15">
        <v>3396.9930720766552</v>
      </c>
      <c r="L145" s="18">
        <v>4</v>
      </c>
      <c r="M145" s="19">
        <v>1.5</v>
      </c>
      <c r="N145" s="43">
        <v>4026.2488526908778</v>
      </c>
      <c r="O145" s="43">
        <v>4606.2216056502393</v>
      </c>
      <c r="P145" s="43">
        <v>6533.8423100483596</v>
      </c>
      <c r="Q145" s="43">
        <v>8229.7882030905384</v>
      </c>
      <c r="R145" s="43">
        <v>10113.281946864949</v>
      </c>
      <c r="S145" s="41">
        <v>8229.7882030905384</v>
      </c>
      <c r="T145" t="s">
        <v>150</v>
      </c>
      <c r="U145" s="25" t="s">
        <v>145</v>
      </c>
      <c r="AA145" s="89"/>
      <c r="AB145" s="89"/>
      <c r="AC145" s="90"/>
      <c r="AD145" s="90"/>
      <c r="AE145" s="91"/>
      <c r="AF145" s="91"/>
    </row>
    <row r="146" spans="1:32" s="46" customFormat="1" x14ac:dyDescent="0.35">
      <c r="A146" s="68" t="s">
        <v>54</v>
      </c>
      <c r="B146" s="46" t="s">
        <v>19</v>
      </c>
      <c r="C146" s="46">
        <v>2021</v>
      </c>
      <c r="D146" s="46" t="s">
        <v>140</v>
      </c>
      <c r="E146" s="46" t="s">
        <v>31</v>
      </c>
      <c r="F146" s="69" t="s">
        <v>5</v>
      </c>
      <c r="G146" s="63">
        <v>4121.2683256143828</v>
      </c>
      <c r="H146" s="63">
        <v>7072.3926533153772</v>
      </c>
      <c r="I146" s="63">
        <v>10032.061482848252</v>
      </c>
      <c r="J146" s="63">
        <v>12636.016807025213</v>
      </c>
      <c r="K146" s="63">
        <v>15527.933101216442</v>
      </c>
      <c r="L146" s="18">
        <v>4</v>
      </c>
      <c r="M146" s="65">
        <v>1.5</v>
      </c>
      <c r="N146" s="66">
        <v>4121.2683256143828</v>
      </c>
      <c r="O146" s="66">
        <v>4714.9284355435848</v>
      </c>
      <c r="P146" s="66">
        <v>6688.0409885655017</v>
      </c>
      <c r="Q146" s="66">
        <v>8424.0112046834747</v>
      </c>
      <c r="R146" s="66">
        <v>10351.955400810961</v>
      </c>
      <c r="S146" s="67">
        <v>8424.0112046834747</v>
      </c>
      <c r="T146" s="46" t="s">
        <v>150</v>
      </c>
      <c r="U146" s="46" t="s">
        <v>145</v>
      </c>
      <c r="V146" s="110"/>
      <c r="W146" s="103"/>
      <c r="X146" s="92"/>
      <c r="Y146" s="92"/>
      <c r="AA146" s="89"/>
      <c r="AB146" s="89"/>
      <c r="AC146" s="90"/>
      <c r="AD146" s="90"/>
      <c r="AE146" s="91"/>
      <c r="AF146" s="91"/>
    </row>
    <row r="147" spans="1:32" s="46" customFormat="1" x14ac:dyDescent="0.35">
      <c r="A147" s="68" t="s">
        <v>54</v>
      </c>
      <c r="B147" s="46" t="s">
        <v>19</v>
      </c>
      <c r="C147" s="46">
        <v>2022</v>
      </c>
      <c r="D147" s="46" t="s">
        <v>140</v>
      </c>
      <c r="E147" s="46" t="s">
        <v>31</v>
      </c>
      <c r="F147" s="69" t="s">
        <v>5</v>
      </c>
      <c r="G147" s="63">
        <v>4233.7789509036556</v>
      </c>
      <c r="H147" s="63">
        <v>7265.4689727508876</v>
      </c>
      <c r="I147" s="63">
        <v>10305.936761330011</v>
      </c>
      <c r="J147" s="63">
        <v>12980.980065857002</v>
      </c>
      <c r="K147" s="63">
        <v>15951.845674879653</v>
      </c>
      <c r="L147" s="18">
        <v>4</v>
      </c>
      <c r="M147" s="65">
        <v>1.5</v>
      </c>
      <c r="N147" s="66">
        <v>4233.7789509036556</v>
      </c>
      <c r="O147" s="66">
        <v>4843.6459818339254</v>
      </c>
      <c r="P147" s="66">
        <v>6870.6245075533407</v>
      </c>
      <c r="Q147" s="66">
        <v>8653.9867105713347</v>
      </c>
      <c r="R147" s="66">
        <v>10634.563783253101</v>
      </c>
      <c r="S147" s="67">
        <v>8653.9867105713347</v>
      </c>
      <c r="T147" s="46" t="s">
        <v>150</v>
      </c>
      <c r="U147" s="46" t="s">
        <v>145</v>
      </c>
      <c r="V147" s="110"/>
      <c r="W147" s="103"/>
      <c r="X147" s="92"/>
      <c r="Y147" s="92"/>
      <c r="AA147" s="89"/>
      <c r="AB147" s="89"/>
      <c r="AC147" s="90"/>
      <c r="AD147" s="90"/>
      <c r="AE147" s="91"/>
      <c r="AF147" s="91"/>
    </row>
    <row r="148" spans="1:32" s="46" customFormat="1" x14ac:dyDescent="0.35">
      <c r="A148" s="68" t="s">
        <v>54</v>
      </c>
      <c r="B148" s="46" t="s">
        <v>19</v>
      </c>
      <c r="C148" s="46">
        <v>2023</v>
      </c>
      <c r="D148" s="46" t="s">
        <v>140</v>
      </c>
      <c r="E148" s="46" t="s">
        <v>31</v>
      </c>
      <c r="F148" s="69" t="s">
        <v>5</v>
      </c>
      <c r="G148" s="63">
        <v>4334.5428899351627</v>
      </c>
      <c r="H148" s="63">
        <v>7438.3871343023593</v>
      </c>
      <c r="I148" s="63">
        <v>10551.218056249665</v>
      </c>
      <c r="J148" s="63">
        <v>13289.927391424399</v>
      </c>
      <c r="K148" s="63">
        <v>16331.499601941789</v>
      </c>
      <c r="L148" s="18">
        <v>4</v>
      </c>
      <c r="M148" s="65">
        <v>1.5</v>
      </c>
      <c r="N148" s="66">
        <v>4334.5428899351627</v>
      </c>
      <c r="O148" s="66">
        <v>4958.9247562015726</v>
      </c>
      <c r="P148" s="66">
        <v>7034.1453708331101</v>
      </c>
      <c r="Q148" s="66">
        <v>8859.951594282933</v>
      </c>
      <c r="R148" s="66">
        <v>10887.666401294526</v>
      </c>
      <c r="S148" s="67">
        <v>8859.951594282933</v>
      </c>
      <c r="T148" s="46" t="s">
        <v>150</v>
      </c>
      <c r="U148" s="46" t="s">
        <v>145</v>
      </c>
      <c r="V148" s="110"/>
      <c r="W148" s="103"/>
      <c r="X148" s="92"/>
      <c r="Y148" s="92"/>
      <c r="AA148" s="89"/>
      <c r="AB148" s="89"/>
      <c r="AC148" s="90"/>
      <c r="AD148" s="90"/>
      <c r="AE148" s="91"/>
      <c r="AF148" s="91"/>
    </row>
    <row r="149" spans="1:32" s="46" customFormat="1" x14ac:dyDescent="0.35">
      <c r="A149" s="68" t="s">
        <v>54</v>
      </c>
      <c r="B149" s="46" t="s">
        <v>19</v>
      </c>
      <c r="C149" s="46">
        <v>2024</v>
      </c>
      <c r="D149" s="46" t="s">
        <v>140</v>
      </c>
      <c r="E149" s="46" t="s">
        <v>31</v>
      </c>
      <c r="F149" s="69" t="s">
        <v>5</v>
      </c>
      <c r="G149" s="63">
        <v>4474.9820795690621</v>
      </c>
      <c r="H149" s="63">
        <v>7679.3908774537558</v>
      </c>
      <c r="I149" s="63">
        <v>10893.077521272155</v>
      </c>
      <c r="J149" s="63">
        <v>13720.521038906549</v>
      </c>
      <c r="K149" s="63">
        <v>16860.640189044701</v>
      </c>
      <c r="L149" s="18">
        <v>4</v>
      </c>
      <c r="M149" s="65">
        <v>1.5</v>
      </c>
      <c r="N149" s="66">
        <v>4474.9820795690621</v>
      </c>
      <c r="O149" s="66">
        <v>5119.5939183025039</v>
      </c>
      <c r="P149" s="66">
        <v>7262.0516808481034</v>
      </c>
      <c r="Q149" s="66">
        <v>9147.0140259376985</v>
      </c>
      <c r="R149" s="66">
        <v>11240.426792696468</v>
      </c>
      <c r="S149" s="67">
        <v>9147.0140259376985</v>
      </c>
      <c r="T149" s="46" t="s">
        <v>150</v>
      </c>
      <c r="U149" s="46" t="s">
        <v>145</v>
      </c>
      <c r="V149" s="110"/>
      <c r="W149" s="103"/>
      <c r="X149" s="92"/>
      <c r="Y149" s="92"/>
      <c r="AA149" s="89"/>
      <c r="AB149" s="89"/>
      <c r="AC149" s="90"/>
      <c r="AD149" s="90"/>
      <c r="AE149" s="91"/>
      <c r="AF149" s="91"/>
    </row>
    <row r="150" spans="1:32" s="46" customFormat="1" x14ac:dyDescent="0.35">
      <c r="A150" s="68" t="s">
        <v>54</v>
      </c>
      <c r="B150" s="46" t="s">
        <v>19</v>
      </c>
      <c r="C150" s="46">
        <v>2025</v>
      </c>
      <c r="D150" s="46" t="s">
        <v>140</v>
      </c>
      <c r="E150" s="46" t="s">
        <v>31</v>
      </c>
      <c r="F150" s="69" t="s">
        <v>5</v>
      </c>
      <c r="G150" s="63">
        <v>4623.103986402798</v>
      </c>
      <c r="H150" s="63">
        <v>7933.5787154974741</v>
      </c>
      <c r="I150" s="63">
        <v>11253.638387226261</v>
      </c>
      <c r="J150" s="63">
        <v>14174.670285294354</v>
      </c>
      <c r="K150" s="63">
        <v>17418.727379302079</v>
      </c>
      <c r="L150" s="18">
        <v>4</v>
      </c>
      <c r="M150" s="65">
        <v>1.5</v>
      </c>
      <c r="N150" s="66">
        <v>4623.103986402798</v>
      </c>
      <c r="O150" s="66">
        <v>5289.0524769983158</v>
      </c>
      <c r="P150" s="66">
        <v>7502.4255914841742</v>
      </c>
      <c r="Q150" s="66">
        <v>9449.7801901962357</v>
      </c>
      <c r="R150" s="66">
        <v>11612.48491953472</v>
      </c>
      <c r="S150" s="67">
        <v>9449.7801901962357</v>
      </c>
      <c r="T150" s="46" t="s">
        <v>150</v>
      </c>
      <c r="U150" s="46" t="s">
        <v>145</v>
      </c>
      <c r="V150" s="110"/>
      <c r="W150" s="103"/>
      <c r="X150" s="92"/>
      <c r="Y150" s="92"/>
      <c r="AA150" s="89"/>
      <c r="AB150" s="91"/>
      <c r="AC150" s="90"/>
      <c r="AD150" s="90"/>
      <c r="AE150" s="91"/>
      <c r="AF150" s="91"/>
    </row>
    <row r="151" spans="1:32" x14ac:dyDescent="0.35">
      <c r="A151" s="23" t="s">
        <v>54</v>
      </c>
      <c r="B151" t="s">
        <v>19</v>
      </c>
      <c r="C151">
        <v>2020</v>
      </c>
      <c r="D151" t="s">
        <v>60</v>
      </c>
      <c r="E151" t="s">
        <v>32</v>
      </c>
      <c r="F151" s="9" t="s">
        <v>5</v>
      </c>
      <c r="G151" s="15">
        <v>4722.9825165908769</v>
      </c>
      <c r="H151" s="15">
        <v>8116.3329646068742</v>
      </c>
      <c r="I151" s="15">
        <v>11495.282341277094</v>
      </c>
      <c r="J151" s="15">
        <v>14479.120213404054</v>
      </c>
      <c r="K151" s="15">
        <v>17806.972174680039</v>
      </c>
      <c r="L151" s="18">
        <v>4</v>
      </c>
      <c r="M151" s="19">
        <v>1.5</v>
      </c>
      <c r="N151" s="43">
        <v>4722.9825165908769</v>
      </c>
      <c r="O151" s="43">
        <v>5410.8886430712491</v>
      </c>
      <c r="P151" s="43">
        <v>7663.5215608513963</v>
      </c>
      <c r="Q151" s="43">
        <v>9652.7468089360354</v>
      </c>
      <c r="R151" s="43">
        <v>11871.314783120026</v>
      </c>
      <c r="S151" s="41">
        <v>9652.7468089360354</v>
      </c>
      <c r="T151" t="s">
        <v>150</v>
      </c>
      <c r="U151" s="25" t="s">
        <v>145</v>
      </c>
      <c r="AA151" s="89"/>
      <c r="AB151" s="89"/>
      <c r="AC151" s="90"/>
      <c r="AD151" s="90"/>
      <c r="AE151" s="91"/>
      <c r="AF151" s="91"/>
    </row>
    <row r="152" spans="1:32" x14ac:dyDescent="0.35">
      <c r="A152" s="23" t="s">
        <v>54</v>
      </c>
      <c r="B152" t="s">
        <v>19</v>
      </c>
      <c r="C152">
        <v>2020</v>
      </c>
      <c r="D152" t="s">
        <v>60</v>
      </c>
      <c r="E152" t="s">
        <v>32</v>
      </c>
      <c r="F152" s="10" t="s">
        <v>6</v>
      </c>
      <c r="G152" s="15">
        <v>1760.6100750000001</v>
      </c>
      <c r="H152" s="15">
        <v>3057.5089078364249</v>
      </c>
      <c r="I152" s="15">
        <v>4548.182246137425</v>
      </c>
      <c r="J152" s="15">
        <v>5826.15099944745</v>
      </c>
      <c r="K152" s="15">
        <v>7085.5347528057755</v>
      </c>
      <c r="L152" s="18">
        <v>4</v>
      </c>
      <c r="M152" s="19">
        <v>1.5</v>
      </c>
      <c r="N152" s="43">
        <v>4722.9825165908769</v>
      </c>
      <c r="O152" s="43">
        <v>5410.8886430712491</v>
      </c>
      <c r="P152" s="43">
        <v>7663.5215608513963</v>
      </c>
      <c r="Q152" s="43">
        <v>9652.7468089360354</v>
      </c>
      <c r="R152" s="43">
        <v>11871.314783120026</v>
      </c>
      <c r="S152" s="41">
        <v>9652.7468089360354</v>
      </c>
      <c r="T152" t="s">
        <v>150</v>
      </c>
      <c r="U152" s="25" t="s">
        <v>145</v>
      </c>
      <c r="AA152" s="89"/>
      <c r="AB152" s="89"/>
      <c r="AC152" s="90"/>
      <c r="AD152" s="90"/>
      <c r="AE152" s="91"/>
      <c r="AF152" s="91"/>
    </row>
    <row r="153" spans="1:32" x14ac:dyDescent="0.35">
      <c r="A153" s="23" t="s">
        <v>54</v>
      </c>
      <c r="B153" t="s">
        <v>19</v>
      </c>
      <c r="C153">
        <v>2020</v>
      </c>
      <c r="D153" t="s">
        <v>60</v>
      </c>
      <c r="E153" t="s">
        <v>32</v>
      </c>
      <c r="F153" s="10" t="s">
        <v>7</v>
      </c>
      <c r="G153" s="15">
        <v>1278.6308789908778</v>
      </c>
      <c r="H153" s="15">
        <v>2151.8283643478121</v>
      </c>
      <c r="I153" s="15">
        <v>2927.5558177992716</v>
      </c>
      <c r="J153" s="15">
        <v>3617.8784003194146</v>
      </c>
      <c r="K153" s="15">
        <v>4477.97375505933</v>
      </c>
      <c r="L153" s="18">
        <v>4</v>
      </c>
      <c r="M153" s="19">
        <v>1.5</v>
      </c>
      <c r="N153" s="43">
        <v>4722.9825165908769</v>
      </c>
      <c r="O153" s="43">
        <v>5410.8886430712491</v>
      </c>
      <c r="P153" s="43">
        <v>7663.5215608513963</v>
      </c>
      <c r="Q153" s="43">
        <v>9652.7468089360354</v>
      </c>
      <c r="R153" s="43">
        <v>11871.314783120026</v>
      </c>
      <c r="S153" s="41">
        <v>9652.7468089360354</v>
      </c>
      <c r="T153" t="s">
        <v>150</v>
      </c>
      <c r="U153" s="25" t="s">
        <v>145</v>
      </c>
      <c r="AA153" s="89"/>
      <c r="AB153" s="89"/>
      <c r="AC153" s="90"/>
      <c r="AD153" s="90"/>
      <c r="AE153" s="91"/>
      <c r="AF153" s="91"/>
    </row>
    <row r="154" spans="1:32" x14ac:dyDescent="0.35">
      <c r="A154" s="23" t="s">
        <v>54</v>
      </c>
      <c r="B154" t="s">
        <v>19</v>
      </c>
      <c r="C154">
        <v>2020</v>
      </c>
      <c r="D154" t="s">
        <v>60</v>
      </c>
      <c r="E154" t="s">
        <v>32</v>
      </c>
      <c r="F154" s="3" t="s">
        <v>8</v>
      </c>
      <c r="G154" s="15">
        <v>231.484644</v>
      </c>
      <c r="H154" s="15">
        <v>462.96928800000001</v>
      </c>
      <c r="I154" s="15">
        <v>694.45393200000001</v>
      </c>
      <c r="J154" s="15">
        <v>925.93857600000001</v>
      </c>
      <c r="K154" s="15">
        <v>1157.4232200000001</v>
      </c>
      <c r="L154" s="18">
        <v>4</v>
      </c>
      <c r="M154" s="19">
        <v>1.5</v>
      </c>
      <c r="N154" s="43">
        <v>4722.9825165908769</v>
      </c>
      <c r="O154" s="43">
        <v>5410.8886430712491</v>
      </c>
      <c r="P154" s="43">
        <v>7663.5215608513963</v>
      </c>
      <c r="Q154" s="43">
        <v>9652.7468089360354</v>
      </c>
      <c r="R154" s="43">
        <v>11871.314783120026</v>
      </c>
      <c r="S154" s="41">
        <v>9652.7468089360354</v>
      </c>
      <c r="T154" t="s">
        <v>150</v>
      </c>
      <c r="U154" s="25" t="s">
        <v>145</v>
      </c>
      <c r="AA154" s="89"/>
      <c r="AB154" s="89"/>
      <c r="AC154" s="90"/>
      <c r="AD154" s="90"/>
      <c r="AE154" s="91"/>
      <c r="AF154" s="91"/>
    </row>
    <row r="155" spans="1:32" x14ac:dyDescent="0.35">
      <c r="A155" s="23" t="s">
        <v>54</v>
      </c>
      <c r="B155" t="s">
        <v>19</v>
      </c>
      <c r="C155">
        <v>2020</v>
      </c>
      <c r="D155" t="s">
        <v>60</v>
      </c>
      <c r="E155" t="s">
        <v>32</v>
      </c>
      <c r="F155" s="3" t="s">
        <v>9</v>
      </c>
      <c r="G155" s="15">
        <v>1452.2569185999998</v>
      </c>
      <c r="H155" s="15">
        <v>2444.0264044226374</v>
      </c>
      <c r="I155" s="15">
        <v>3325.0903453403967</v>
      </c>
      <c r="J155" s="15">
        <v>4109.1522376371886</v>
      </c>
      <c r="K155" s="15">
        <v>5086.0404468149309</v>
      </c>
      <c r="L155" s="18">
        <v>4</v>
      </c>
      <c r="M155" s="19">
        <v>1.5</v>
      </c>
      <c r="N155" s="43">
        <v>4722.9825165908769</v>
      </c>
      <c r="O155" s="43">
        <v>5410.8886430712491</v>
      </c>
      <c r="P155" s="43">
        <v>7663.5215608513963</v>
      </c>
      <c r="Q155" s="43">
        <v>9652.7468089360354</v>
      </c>
      <c r="R155" s="43">
        <v>11871.314783120026</v>
      </c>
      <c r="S155" s="41">
        <v>9652.7468089360354</v>
      </c>
      <c r="T155" t="s">
        <v>150</v>
      </c>
      <c r="U155" s="25" t="s">
        <v>145</v>
      </c>
      <c r="AA155" s="89"/>
      <c r="AB155" s="89"/>
      <c r="AC155" s="90"/>
      <c r="AD155" s="90"/>
      <c r="AE155" s="91"/>
      <c r="AF155" s="91"/>
    </row>
    <row r="156" spans="1:32" s="46" customFormat="1" x14ac:dyDescent="0.35">
      <c r="A156" s="68" t="s">
        <v>54</v>
      </c>
      <c r="B156" s="46" t="s">
        <v>19</v>
      </c>
      <c r="C156" s="46">
        <v>2021</v>
      </c>
      <c r="D156" s="46" t="s">
        <v>140</v>
      </c>
      <c r="E156" s="46" t="s">
        <v>32</v>
      </c>
      <c r="F156" s="69" t="s">
        <v>5</v>
      </c>
      <c r="G156" s="63">
        <v>4809.6358111570244</v>
      </c>
      <c r="H156" s="63">
        <v>8265.244587444442</v>
      </c>
      <c r="I156" s="63">
        <v>11706.188073691008</v>
      </c>
      <c r="J156" s="63">
        <v>14744.77088318811</v>
      </c>
      <c r="K156" s="63">
        <v>18133.679461815525</v>
      </c>
      <c r="L156" s="18">
        <v>4</v>
      </c>
      <c r="M156" s="65">
        <v>1.5</v>
      </c>
      <c r="N156" s="66">
        <v>4809.6358111570244</v>
      </c>
      <c r="O156" s="66">
        <v>5510.1630582962944</v>
      </c>
      <c r="P156" s="66">
        <v>7804.125382460672</v>
      </c>
      <c r="Q156" s="66">
        <v>9829.8472554587406</v>
      </c>
      <c r="R156" s="66">
        <v>12089.119641210351</v>
      </c>
      <c r="S156" s="67">
        <v>9829.8472554587406</v>
      </c>
      <c r="T156" s="46" t="s">
        <v>150</v>
      </c>
      <c r="U156" s="46" t="s">
        <v>145</v>
      </c>
      <c r="V156" s="110"/>
      <c r="W156" s="103"/>
      <c r="X156" s="92"/>
      <c r="Y156" s="92"/>
      <c r="AA156" s="89"/>
      <c r="AB156" s="89"/>
      <c r="AC156" s="90"/>
      <c r="AD156" s="90"/>
      <c r="AE156" s="91"/>
      <c r="AF156" s="91"/>
    </row>
    <row r="157" spans="1:32" s="46" customFormat="1" x14ac:dyDescent="0.35">
      <c r="A157" s="68" t="s">
        <v>54</v>
      </c>
      <c r="B157" s="46" t="s">
        <v>19</v>
      </c>
      <c r="C157" s="46">
        <v>2022</v>
      </c>
      <c r="D157" s="46" t="s">
        <v>140</v>
      </c>
      <c r="E157" s="46" t="s">
        <v>32</v>
      </c>
      <c r="F157" s="69" t="s">
        <v>5</v>
      </c>
      <c r="G157" s="63">
        <v>4961.4523262411485</v>
      </c>
      <c r="H157" s="63">
        <v>8526.1376527099965</v>
      </c>
      <c r="I157" s="63">
        <v>12075.694778158009</v>
      </c>
      <c r="J157" s="63">
        <v>15210.190681919396</v>
      </c>
      <c r="K157" s="63">
        <v>18706.070413986832</v>
      </c>
      <c r="L157" s="18">
        <v>4</v>
      </c>
      <c r="M157" s="65">
        <v>1.5</v>
      </c>
      <c r="N157" s="66">
        <v>4961.4523262411485</v>
      </c>
      <c r="O157" s="66">
        <v>5684.0917684733313</v>
      </c>
      <c r="P157" s="66">
        <v>8050.4631854386726</v>
      </c>
      <c r="Q157" s="66">
        <v>10140.127121279596</v>
      </c>
      <c r="R157" s="66">
        <v>12470.713609324555</v>
      </c>
      <c r="S157" s="67">
        <v>10140.127121279596</v>
      </c>
      <c r="T157" s="46" t="s">
        <v>150</v>
      </c>
      <c r="U157" s="46" t="s">
        <v>145</v>
      </c>
      <c r="V157" s="110"/>
      <c r="W157" s="103"/>
      <c r="X157" s="92"/>
      <c r="Y157" s="92"/>
      <c r="AA157" s="89"/>
      <c r="AB157" s="89"/>
      <c r="AC157" s="90"/>
      <c r="AD157" s="90"/>
      <c r="AE157" s="91"/>
      <c r="AF157" s="91"/>
    </row>
    <row r="158" spans="1:32" s="46" customFormat="1" x14ac:dyDescent="0.35">
      <c r="A158" s="68" t="s">
        <v>54</v>
      </c>
      <c r="B158" s="46" t="s">
        <v>19</v>
      </c>
      <c r="C158" s="46">
        <v>2023</v>
      </c>
      <c r="D158" s="46" t="s">
        <v>140</v>
      </c>
      <c r="E158" s="46" t="s">
        <v>32</v>
      </c>
      <c r="F158" s="69" t="s">
        <v>5</v>
      </c>
      <c r="G158" s="63">
        <v>5122.8430530604273</v>
      </c>
      <c r="H158" s="63">
        <v>8803.4837728075745</v>
      </c>
      <c r="I158" s="63">
        <v>12468.504187368075</v>
      </c>
      <c r="J158" s="63">
        <v>15704.961883535389</v>
      </c>
      <c r="K158" s="63">
        <v>19314.558836636486</v>
      </c>
      <c r="L158" s="18">
        <v>4</v>
      </c>
      <c r="M158" s="65">
        <v>1.5</v>
      </c>
      <c r="N158" s="66">
        <v>5122.8430530604273</v>
      </c>
      <c r="O158" s="66">
        <v>5868.989181871716</v>
      </c>
      <c r="P158" s="66">
        <v>8312.3361249120499</v>
      </c>
      <c r="Q158" s="66">
        <v>10469.974589023592</v>
      </c>
      <c r="R158" s="66">
        <v>12876.372557757657</v>
      </c>
      <c r="S158" s="67">
        <v>10469.974589023592</v>
      </c>
      <c r="T158" s="46" t="s">
        <v>150</v>
      </c>
      <c r="U158" s="46" t="s">
        <v>145</v>
      </c>
      <c r="V158" s="110"/>
      <c r="W158" s="103"/>
      <c r="X158" s="92"/>
      <c r="Y158" s="92"/>
      <c r="AA158" s="89"/>
      <c r="AB158" s="89"/>
      <c r="AC158" s="90"/>
      <c r="AD158" s="90"/>
      <c r="AE158" s="91"/>
      <c r="AF158" s="91"/>
    </row>
    <row r="159" spans="1:32" s="46" customFormat="1" x14ac:dyDescent="0.35">
      <c r="A159" s="68" t="s">
        <v>54</v>
      </c>
      <c r="B159" s="46" t="s">
        <v>19</v>
      </c>
      <c r="C159" s="46">
        <v>2024</v>
      </c>
      <c r="D159" s="46" t="s">
        <v>140</v>
      </c>
      <c r="E159" s="46" t="s">
        <v>32</v>
      </c>
      <c r="F159" s="69" t="s">
        <v>5</v>
      </c>
      <c r="G159" s="63">
        <v>5308.3459508779115</v>
      </c>
      <c r="H159" s="63">
        <v>9122.2660844712882</v>
      </c>
      <c r="I159" s="63">
        <v>12920.000287141118</v>
      </c>
      <c r="J159" s="63">
        <v>16273.653117940572</v>
      </c>
      <c r="K159" s="63">
        <v>20013.956924212467</v>
      </c>
      <c r="L159" s="18">
        <v>4</v>
      </c>
      <c r="M159" s="65">
        <v>1.5</v>
      </c>
      <c r="N159" s="66">
        <v>5308.3459508779115</v>
      </c>
      <c r="O159" s="66">
        <v>6081.5107229808591</v>
      </c>
      <c r="P159" s="66">
        <v>8613.3335247607447</v>
      </c>
      <c r="Q159" s="66">
        <v>10849.102078627047</v>
      </c>
      <c r="R159" s="66">
        <v>13342.637949474978</v>
      </c>
      <c r="S159" s="67">
        <v>10849.102078627047</v>
      </c>
      <c r="T159" s="46" t="s">
        <v>150</v>
      </c>
      <c r="U159" s="46" t="s">
        <v>145</v>
      </c>
      <c r="V159" s="110"/>
      <c r="W159" s="103"/>
      <c r="X159" s="92"/>
      <c r="Y159" s="92"/>
      <c r="AA159" s="89"/>
      <c r="AB159" s="89"/>
      <c r="AC159" s="90"/>
      <c r="AD159" s="90"/>
      <c r="AE159" s="91"/>
      <c r="AF159" s="91"/>
    </row>
    <row r="160" spans="1:32" s="46" customFormat="1" x14ac:dyDescent="0.35">
      <c r="A160" s="68" t="s">
        <v>54</v>
      </c>
      <c r="B160" s="46" t="s">
        <v>19</v>
      </c>
      <c r="C160" s="46">
        <v>2025</v>
      </c>
      <c r="D160" s="46" t="s">
        <v>140</v>
      </c>
      <c r="E160" s="46" t="s">
        <v>32</v>
      </c>
      <c r="F160" s="69" t="s">
        <v>5</v>
      </c>
      <c r="G160" s="63">
        <v>5484.0522018519696</v>
      </c>
      <c r="H160" s="63">
        <v>9424.2130918672865</v>
      </c>
      <c r="I160" s="63">
        <v>13347.652296645489</v>
      </c>
      <c r="J160" s="63">
        <v>16812.311036144405</v>
      </c>
      <c r="K160" s="63">
        <v>20676.418898403899</v>
      </c>
      <c r="L160" s="18">
        <v>4</v>
      </c>
      <c r="M160" s="65">
        <v>1.5</v>
      </c>
      <c r="N160" s="66">
        <v>5484.0522018519696</v>
      </c>
      <c r="O160" s="66">
        <v>6282.8087279115243</v>
      </c>
      <c r="P160" s="66">
        <v>8898.4348644303263</v>
      </c>
      <c r="Q160" s="66">
        <v>11208.207357429603</v>
      </c>
      <c r="R160" s="66">
        <v>13784.279265602599</v>
      </c>
      <c r="S160" s="67">
        <v>11208.207357429603</v>
      </c>
      <c r="T160" s="46" t="s">
        <v>150</v>
      </c>
      <c r="U160" s="46" t="s">
        <v>145</v>
      </c>
      <c r="V160" s="110"/>
      <c r="W160" s="103"/>
      <c r="X160" s="92"/>
      <c r="Y160" s="92"/>
      <c r="AA160" s="89"/>
      <c r="AB160" s="91"/>
      <c r="AC160" s="90"/>
      <c r="AD160" s="90"/>
      <c r="AE160" s="91"/>
      <c r="AF160" s="91"/>
    </row>
    <row r="161" spans="1:32" s="47" customFormat="1" hidden="1" x14ac:dyDescent="0.35">
      <c r="A161" s="47" t="s">
        <v>53</v>
      </c>
      <c r="B161" s="47" t="s">
        <v>33</v>
      </c>
      <c r="C161" s="47">
        <v>2019</v>
      </c>
      <c r="D161" s="47" t="s">
        <v>60</v>
      </c>
      <c r="E161" s="47" t="s">
        <v>21</v>
      </c>
      <c r="F161" s="56" t="s">
        <v>5</v>
      </c>
      <c r="G161" s="57">
        <v>265581.96101898677</v>
      </c>
      <c r="H161" s="57">
        <v>434687.38519095047</v>
      </c>
      <c r="I161" s="57">
        <v>620205.34881241282</v>
      </c>
      <c r="J161" s="57">
        <v>809287.14104875142</v>
      </c>
      <c r="K161" s="57">
        <v>995287.98642270314</v>
      </c>
      <c r="L161" s="50">
        <v>5</v>
      </c>
      <c r="M161" s="51">
        <v>1.5</v>
      </c>
      <c r="N161" s="52">
        <v>265581.96101898677</v>
      </c>
      <c r="O161" s="52">
        <v>289791.5901273003</v>
      </c>
      <c r="P161" s="52">
        <v>413470.23254160857</v>
      </c>
      <c r="Q161" s="52">
        <v>539524.76069916761</v>
      </c>
      <c r="R161" s="52">
        <v>663525.32428180205</v>
      </c>
      <c r="S161" s="57">
        <v>663525.32428180205</v>
      </c>
      <c r="T161" s="47" t="s">
        <v>34</v>
      </c>
      <c r="V161" s="108">
        <v>130000</v>
      </c>
      <c r="W161" s="101"/>
      <c r="X161" s="53">
        <v>220000</v>
      </c>
      <c r="Y161" s="53">
        <v>407686.52799999999</v>
      </c>
      <c r="AA161" s="86">
        <v>-1.605</v>
      </c>
      <c r="AB161" s="86">
        <v>2.87</v>
      </c>
      <c r="AC161" s="87">
        <v>92.397999999999996</v>
      </c>
      <c r="AD161" s="87">
        <v>2.5630000000000002</v>
      </c>
      <c r="AE161" s="88">
        <v>20.121654639999999</v>
      </c>
      <c r="AF161" s="88">
        <v>38.984999999999999</v>
      </c>
    </row>
    <row r="162" spans="1:32" hidden="1" x14ac:dyDescent="0.35">
      <c r="A162" t="s">
        <v>53</v>
      </c>
      <c r="B162" t="s">
        <v>33</v>
      </c>
      <c r="C162">
        <v>2019</v>
      </c>
      <c r="D162" t="s">
        <v>60</v>
      </c>
      <c r="E162" t="s">
        <v>21</v>
      </c>
      <c r="F162" s="10" t="s">
        <v>6</v>
      </c>
      <c r="G162" s="5">
        <v>87657.331158333342</v>
      </c>
      <c r="H162" s="5">
        <v>145907.51234566575</v>
      </c>
      <c r="I162" s="5">
        <v>202590.897630141</v>
      </c>
      <c r="J162" s="5">
        <v>262486.1790142543</v>
      </c>
      <c r="K162" s="5">
        <v>324416.88115933037</v>
      </c>
      <c r="L162" s="18">
        <v>5</v>
      </c>
      <c r="M162" s="19">
        <v>1.5</v>
      </c>
      <c r="N162" s="43">
        <v>265581.96101898677</v>
      </c>
      <c r="O162" s="43">
        <v>289791.5901273003</v>
      </c>
      <c r="P162" s="43">
        <v>413470.23254160857</v>
      </c>
      <c r="Q162" s="43">
        <v>539524.76069916761</v>
      </c>
      <c r="R162" s="43">
        <v>663525.32428180205</v>
      </c>
      <c r="S162" s="42">
        <v>663525.32428180205</v>
      </c>
      <c r="T162" t="s">
        <v>34</v>
      </c>
      <c r="V162" s="109">
        <v>130000</v>
      </c>
      <c r="X162" s="94">
        <v>220000</v>
      </c>
      <c r="Y162" s="94">
        <v>407686.52799999999</v>
      </c>
      <c r="Z162" s="20"/>
      <c r="AA162" s="89">
        <v>-1.605</v>
      </c>
      <c r="AB162" s="89">
        <v>2.87</v>
      </c>
      <c r="AC162" s="90">
        <v>92.397999999999996</v>
      </c>
      <c r="AD162" s="90">
        <v>2.5630000000000002</v>
      </c>
      <c r="AE162" s="91">
        <v>20.121654639999999</v>
      </c>
      <c r="AF162" s="91">
        <v>38.984999999999999</v>
      </c>
    </row>
    <row r="163" spans="1:32" hidden="1" x14ac:dyDescent="0.35">
      <c r="A163" t="s">
        <v>53</v>
      </c>
      <c r="B163" t="s">
        <v>33</v>
      </c>
      <c r="C163">
        <v>2019</v>
      </c>
      <c r="D163" t="s">
        <v>60</v>
      </c>
      <c r="E163" t="s">
        <v>21</v>
      </c>
      <c r="F163" s="10" t="s">
        <v>7</v>
      </c>
      <c r="G163" s="5">
        <v>97616.557860653425</v>
      </c>
      <c r="H163" s="5">
        <v>144263.97714286513</v>
      </c>
      <c r="I163" s="5">
        <v>204574.7274588978</v>
      </c>
      <c r="J163" s="5">
        <v>265152.92762015708</v>
      </c>
      <c r="K163" s="5">
        <v>321842.96266526869</v>
      </c>
      <c r="L163" s="18">
        <v>5</v>
      </c>
      <c r="M163" s="19">
        <v>1.5</v>
      </c>
      <c r="N163" s="43">
        <v>265581.96101898677</v>
      </c>
      <c r="O163" s="43">
        <v>289791.5901273003</v>
      </c>
      <c r="P163" s="43">
        <v>413470.23254160857</v>
      </c>
      <c r="Q163" s="43">
        <v>539524.76069916761</v>
      </c>
      <c r="R163" s="43">
        <v>663525.32428180205</v>
      </c>
      <c r="S163" s="42">
        <v>663525.32428180205</v>
      </c>
      <c r="T163" t="s">
        <v>34</v>
      </c>
      <c r="V163" s="109">
        <v>130000</v>
      </c>
      <c r="X163" s="94">
        <v>220000</v>
      </c>
      <c r="Y163" s="94">
        <v>407686.52799999999</v>
      </c>
      <c r="Z163" s="21"/>
      <c r="AA163" s="89">
        <v>-1.605</v>
      </c>
      <c r="AB163" s="89">
        <v>2.87</v>
      </c>
      <c r="AC163" s="90">
        <v>92.397999999999996</v>
      </c>
      <c r="AD163" s="90">
        <v>2.5630000000000002</v>
      </c>
      <c r="AE163" s="91">
        <v>20.121654639999999</v>
      </c>
      <c r="AF163" s="91">
        <v>38.984999999999999</v>
      </c>
    </row>
    <row r="164" spans="1:32" hidden="1" x14ac:dyDescent="0.35">
      <c r="A164" t="s">
        <v>53</v>
      </c>
      <c r="B164" t="s">
        <v>33</v>
      </c>
      <c r="C164">
        <v>2019</v>
      </c>
      <c r="D164" t="s">
        <v>60</v>
      </c>
      <c r="E164" t="s">
        <v>21</v>
      </c>
      <c r="F164" s="3" t="s">
        <v>8</v>
      </c>
      <c r="G164" s="5">
        <v>49472.729999999996</v>
      </c>
      <c r="H164" s="5">
        <v>98945.459999999992</v>
      </c>
      <c r="I164" s="5">
        <v>148418.19</v>
      </c>
      <c r="J164" s="5">
        <v>197890.91999999998</v>
      </c>
      <c r="K164" s="5">
        <v>247363.64999999997</v>
      </c>
      <c r="L164" s="18">
        <v>5</v>
      </c>
      <c r="M164" s="19">
        <v>1.5</v>
      </c>
      <c r="N164" s="43">
        <v>265581.96101898677</v>
      </c>
      <c r="O164" s="43">
        <v>289791.5901273003</v>
      </c>
      <c r="P164" s="43">
        <v>413470.23254160857</v>
      </c>
      <c r="Q164" s="43">
        <v>539524.76069916761</v>
      </c>
      <c r="R164" s="43">
        <v>663525.32428180205</v>
      </c>
      <c r="S164" s="42">
        <v>663525.32428180205</v>
      </c>
      <c r="T164" t="s">
        <v>34</v>
      </c>
      <c r="V164" s="109">
        <v>130000</v>
      </c>
      <c r="X164" s="95">
        <v>220000</v>
      </c>
      <c r="Y164" s="95">
        <v>407686.52799999999</v>
      </c>
      <c r="Z164" s="22"/>
      <c r="AA164" s="89">
        <v>-1.605</v>
      </c>
      <c r="AB164" s="89">
        <v>2.87</v>
      </c>
      <c r="AC164" s="90">
        <v>92.397999999999996</v>
      </c>
      <c r="AD164" s="90">
        <v>2.5630000000000002</v>
      </c>
      <c r="AE164" s="91">
        <v>20.121654639999999</v>
      </c>
      <c r="AF164" s="91">
        <v>38.984999999999999</v>
      </c>
    </row>
    <row r="165" spans="1:32" hidden="1" x14ac:dyDescent="0.35">
      <c r="A165" t="s">
        <v>53</v>
      </c>
      <c r="B165" t="s">
        <v>33</v>
      </c>
      <c r="C165">
        <v>2019</v>
      </c>
      <c r="D165" t="s">
        <v>60</v>
      </c>
      <c r="E165" t="s">
        <v>21</v>
      </c>
      <c r="F165" s="3" t="s">
        <v>9</v>
      </c>
      <c r="G165" s="5">
        <v>30835.342000000001</v>
      </c>
      <c r="H165" s="5">
        <v>45570.4357024196</v>
      </c>
      <c r="I165" s="5">
        <v>64621.533723373999</v>
      </c>
      <c r="J165" s="5">
        <v>83757.114414340002</v>
      </c>
      <c r="K165" s="5">
        <v>101664.492598104</v>
      </c>
      <c r="L165" s="18">
        <v>5</v>
      </c>
      <c r="M165" s="19">
        <v>1.5</v>
      </c>
      <c r="N165" s="43">
        <v>265581.96101898677</v>
      </c>
      <c r="O165" s="43">
        <v>289791.5901273003</v>
      </c>
      <c r="P165" s="43">
        <v>413470.23254160857</v>
      </c>
      <c r="Q165" s="43">
        <v>539524.76069916761</v>
      </c>
      <c r="R165" s="43">
        <v>663525.32428180205</v>
      </c>
      <c r="S165" s="42">
        <v>663525.32428180205</v>
      </c>
      <c r="T165" t="s">
        <v>34</v>
      </c>
      <c r="V165" s="109">
        <v>130000</v>
      </c>
      <c r="X165" s="95">
        <v>220000</v>
      </c>
      <c r="Y165" s="95">
        <v>407686.52799999999</v>
      </c>
      <c r="Z165" s="21"/>
      <c r="AA165" s="89">
        <v>-1.605</v>
      </c>
      <c r="AB165" s="89">
        <v>2.87</v>
      </c>
      <c r="AC165" s="90">
        <v>92.397999999999996</v>
      </c>
      <c r="AD165" s="90">
        <v>2.5630000000000002</v>
      </c>
      <c r="AE165" s="91">
        <v>20.121654639999999</v>
      </c>
      <c r="AF165" s="91">
        <v>38.984999999999999</v>
      </c>
    </row>
    <row r="166" spans="1:32" s="46" customFormat="1" hidden="1" x14ac:dyDescent="0.35">
      <c r="A166" s="46" t="s">
        <v>53</v>
      </c>
      <c r="B166" s="46" t="s">
        <v>33</v>
      </c>
      <c r="C166" s="46">
        <v>2020</v>
      </c>
      <c r="D166" s="46" t="s">
        <v>133</v>
      </c>
      <c r="E166" s="46" t="s">
        <v>21</v>
      </c>
      <c r="F166" s="69" t="s">
        <v>5</v>
      </c>
      <c r="G166" s="72">
        <v>274381.5489396007</v>
      </c>
      <c r="H166" s="72">
        <v>449089.98184809351</v>
      </c>
      <c r="I166" s="72">
        <v>640754.75463338906</v>
      </c>
      <c r="J166" s="72">
        <v>836101.43718301214</v>
      </c>
      <c r="K166" s="72">
        <v>1028265.0911524602</v>
      </c>
      <c r="L166" s="18">
        <v>5</v>
      </c>
      <c r="M166" s="65">
        <v>1.5</v>
      </c>
      <c r="N166" s="66">
        <v>274381.5489396007</v>
      </c>
      <c r="O166" s="66">
        <v>299393.32123206236</v>
      </c>
      <c r="P166" s="66">
        <v>427169.8364222594</v>
      </c>
      <c r="Q166" s="66">
        <v>557400.95812200813</v>
      </c>
      <c r="R166" s="66">
        <v>685510.06076830684</v>
      </c>
      <c r="S166" s="73">
        <v>685510.06076830684</v>
      </c>
      <c r="T166" s="46" t="s">
        <v>34</v>
      </c>
      <c r="V166" s="109">
        <v>130000</v>
      </c>
      <c r="W166" s="74"/>
      <c r="X166" s="95" t="s">
        <v>147</v>
      </c>
      <c r="Y166" s="95" t="s">
        <v>147</v>
      </c>
      <c r="Z166" s="75"/>
      <c r="AA166" s="89">
        <v>-5.5190000000000001</v>
      </c>
      <c r="AB166" s="89">
        <v>3.31</v>
      </c>
      <c r="AC166" s="90" t="s">
        <v>147</v>
      </c>
      <c r="AD166" s="90" t="s">
        <v>147</v>
      </c>
      <c r="AE166" s="91">
        <v>19.109441570000001</v>
      </c>
      <c r="AF166" s="91">
        <v>38.576000000000001</v>
      </c>
    </row>
    <row r="167" spans="1:32" s="46" customFormat="1" hidden="1" x14ac:dyDescent="0.35">
      <c r="A167" s="46" t="s">
        <v>53</v>
      </c>
      <c r="B167" s="46" t="s">
        <v>33</v>
      </c>
      <c r="C167" s="46">
        <v>2021</v>
      </c>
      <c r="D167" s="46" t="s">
        <v>133</v>
      </c>
      <c r="E167" s="46" t="s">
        <v>21</v>
      </c>
      <c r="F167" s="69" t="s">
        <v>5</v>
      </c>
      <c r="G167" s="72">
        <v>280430.48787122412</v>
      </c>
      <c r="H167" s="72">
        <v>458990.49405637232</v>
      </c>
      <c r="I167" s="72">
        <v>654880.65484753903</v>
      </c>
      <c r="J167" s="72">
        <v>854533.89575651451</v>
      </c>
      <c r="K167" s="72">
        <v>1050933.9359269701</v>
      </c>
      <c r="L167" s="18">
        <v>5</v>
      </c>
      <c r="M167" s="65">
        <v>1.5</v>
      </c>
      <c r="N167" s="66">
        <v>280430.48787122412</v>
      </c>
      <c r="O167" s="66">
        <v>305993.66270424821</v>
      </c>
      <c r="P167" s="66">
        <v>436587.10323169269</v>
      </c>
      <c r="Q167" s="66">
        <v>569689.26383767638</v>
      </c>
      <c r="R167" s="66">
        <v>700622.62395131344</v>
      </c>
      <c r="S167" s="73">
        <v>700622.62395131344</v>
      </c>
      <c r="T167" s="46" t="s">
        <v>34</v>
      </c>
      <c r="V167" s="109">
        <v>130000</v>
      </c>
      <c r="W167" s="103"/>
      <c r="X167" s="95">
        <v>240000</v>
      </c>
      <c r="Y167" s="95">
        <v>577677.93799999997</v>
      </c>
      <c r="Z167" s="75"/>
      <c r="AA167" s="89">
        <v>-0.8</v>
      </c>
      <c r="AB167" s="89">
        <v>2.2000000000000002</v>
      </c>
      <c r="AC167" s="90">
        <v>94.478999999999999</v>
      </c>
      <c r="AD167" s="90">
        <v>3.4159999999999999</v>
      </c>
      <c r="AE167" s="91">
        <v>18.67248365</v>
      </c>
      <c r="AF167" s="91">
        <v>38.747</v>
      </c>
    </row>
    <row r="168" spans="1:32" s="46" customFormat="1" hidden="1" x14ac:dyDescent="0.35">
      <c r="A168" s="46" t="s">
        <v>53</v>
      </c>
      <c r="B168" s="46" t="s">
        <v>33</v>
      </c>
      <c r="C168" s="46">
        <v>2022</v>
      </c>
      <c r="D168" s="46" t="s">
        <v>133</v>
      </c>
      <c r="E168" s="46" t="s">
        <v>21</v>
      </c>
      <c r="F168" s="69" t="s">
        <v>5</v>
      </c>
      <c r="G168" s="72">
        <v>300609.67367682693</v>
      </c>
      <c r="H168" s="72">
        <v>492018.48089502938</v>
      </c>
      <c r="I168" s="72">
        <v>702004.48405376903</v>
      </c>
      <c r="J168" s="72">
        <v>916024.35063021863</v>
      </c>
      <c r="K168" s="72">
        <v>1126556.9230118203</v>
      </c>
      <c r="L168" s="18">
        <v>5</v>
      </c>
      <c r="M168" s="65">
        <v>1.5</v>
      </c>
      <c r="N168" s="66">
        <v>300609.67367682693</v>
      </c>
      <c r="O168" s="66">
        <v>328012.32059668627</v>
      </c>
      <c r="P168" s="66">
        <v>468002.98936917935</v>
      </c>
      <c r="Q168" s="66">
        <v>610682.90042014571</v>
      </c>
      <c r="R168" s="66">
        <v>751037.9486745469</v>
      </c>
      <c r="S168" s="73">
        <v>751037.9486745469</v>
      </c>
      <c r="T168" s="46" t="s">
        <v>34</v>
      </c>
      <c r="V168" s="109">
        <v>130000</v>
      </c>
      <c r="W168" s="74"/>
      <c r="X168" s="95" t="s">
        <v>147</v>
      </c>
      <c r="Y168" s="95" t="s">
        <v>147</v>
      </c>
      <c r="Z168" s="75"/>
      <c r="AA168" s="89">
        <v>0.76600000000000001</v>
      </c>
      <c r="AB168" s="89">
        <v>7.2</v>
      </c>
      <c r="AC168" s="90" t="s">
        <v>147</v>
      </c>
      <c r="AD168" s="90" t="s">
        <v>147</v>
      </c>
      <c r="AE168" s="91">
        <v>18.846472420000001</v>
      </c>
      <c r="AF168" s="91">
        <v>37.667000000000002</v>
      </c>
    </row>
    <row r="169" spans="1:32" s="46" customFormat="1" hidden="1" x14ac:dyDescent="0.35">
      <c r="A169" s="46" t="s">
        <v>53</v>
      </c>
      <c r="B169" s="46" t="s">
        <v>33</v>
      </c>
      <c r="C169" s="46">
        <v>2023</v>
      </c>
      <c r="D169" s="46" t="s">
        <v>133</v>
      </c>
      <c r="E169" s="46" t="s">
        <v>21</v>
      </c>
      <c r="F169" s="69" t="s">
        <v>5</v>
      </c>
      <c r="G169" s="72">
        <v>316695.14112691645</v>
      </c>
      <c r="H169" s="72">
        <v>518346.13416871574</v>
      </c>
      <c r="I169" s="72">
        <v>739568.37925364019</v>
      </c>
      <c r="J169" s="72">
        <v>965040.33769187401</v>
      </c>
      <c r="K169" s="72">
        <v>1186838.3986347937</v>
      </c>
      <c r="L169" s="18">
        <v>5</v>
      </c>
      <c r="M169" s="65">
        <v>1.5</v>
      </c>
      <c r="N169" s="66">
        <v>316695.14112691645</v>
      </c>
      <c r="O169" s="66">
        <v>345564.08944581047</v>
      </c>
      <c r="P169" s="66">
        <v>493045.58616909344</v>
      </c>
      <c r="Q169" s="66">
        <v>643360.22512791597</v>
      </c>
      <c r="R169" s="66">
        <v>791225.59908986243</v>
      </c>
      <c r="S169" s="73">
        <v>791225.59908986243</v>
      </c>
      <c r="T169" s="46" t="s">
        <v>34</v>
      </c>
      <c r="V169" s="109">
        <v>130000</v>
      </c>
      <c r="W169" s="74"/>
      <c r="X169" s="95" t="s">
        <v>147</v>
      </c>
      <c r="Y169" s="95" t="s">
        <v>147</v>
      </c>
      <c r="Z169" s="75"/>
      <c r="AA169" s="89">
        <v>1.242</v>
      </c>
      <c r="AB169" s="89">
        <v>5.35</v>
      </c>
      <c r="AC169" s="90" t="s">
        <v>147</v>
      </c>
      <c r="AD169" s="90" t="s">
        <v>147</v>
      </c>
      <c r="AE169" s="91">
        <v>19.048962299999999</v>
      </c>
      <c r="AF169" s="91">
        <v>37.987000000000002</v>
      </c>
    </row>
    <row r="170" spans="1:32" s="46" customFormat="1" hidden="1" x14ac:dyDescent="0.35">
      <c r="A170" s="46" t="s">
        <v>53</v>
      </c>
      <c r="B170" s="46" t="s">
        <v>33</v>
      </c>
      <c r="C170" s="46">
        <v>2024</v>
      </c>
      <c r="D170" s="46" t="s">
        <v>133</v>
      </c>
      <c r="E170" s="46" t="s">
        <v>21</v>
      </c>
      <c r="F170" s="69" t="s">
        <v>5</v>
      </c>
      <c r="G170" s="72">
        <v>327220.12623269891</v>
      </c>
      <c r="H170" s="72">
        <v>535572.74939985783</v>
      </c>
      <c r="I170" s="72">
        <v>764147.05181758967</v>
      </c>
      <c r="J170" s="72">
        <v>997112.30174078175</v>
      </c>
      <c r="K170" s="72">
        <v>1226281.5565694331</v>
      </c>
      <c r="L170" s="18">
        <v>5</v>
      </c>
      <c r="M170" s="65">
        <v>1.5</v>
      </c>
      <c r="N170" s="66">
        <v>327220.12623269891</v>
      </c>
      <c r="O170" s="66">
        <v>357048.49959990522</v>
      </c>
      <c r="P170" s="66">
        <v>509431.3678783931</v>
      </c>
      <c r="Q170" s="66">
        <v>664741.5344938545</v>
      </c>
      <c r="R170" s="66">
        <v>817521.03771295538</v>
      </c>
      <c r="S170" s="73">
        <v>817521.03771295538</v>
      </c>
      <c r="T170" s="46" t="s">
        <v>34</v>
      </c>
      <c r="V170" s="109">
        <v>130000</v>
      </c>
      <c r="W170" s="74"/>
      <c r="X170" s="95" t="s">
        <v>147</v>
      </c>
      <c r="Y170" s="95" t="s">
        <v>147</v>
      </c>
      <c r="Z170" s="75"/>
      <c r="AA170" s="89">
        <v>2.6989999999999998</v>
      </c>
      <c r="AB170" s="89">
        <v>3.32</v>
      </c>
      <c r="AC170" s="90" t="s">
        <v>147</v>
      </c>
      <c r="AD170" s="90" t="s">
        <v>147</v>
      </c>
      <c r="AE170" s="91">
        <v>19.293813929999999</v>
      </c>
      <c r="AF170" s="91">
        <v>37.609000000000002</v>
      </c>
    </row>
    <row r="171" spans="1:32" s="46" customFormat="1" hidden="1" x14ac:dyDescent="0.35">
      <c r="A171" s="46" t="s">
        <v>53</v>
      </c>
      <c r="B171" s="46" t="s">
        <v>33</v>
      </c>
      <c r="C171" s="46">
        <v>2025</v>
      </c>
      <c r="D171" s="46" t="s">
        <v>133</v>
      </c>
      <c r="E171" s="46" t="s">
        <v>21</v>
      </c>
      <c r="F171" s="69" t="s">
        <v>5</v>
      </c>
      <c r="G171" s="72">
        <v>337363.95014591253</v>
      </c>
      <c r="H171" s="72">
        <v>552175.50463125343</v>
      </c>
      <c r="I171" s="72">
        <v>787835.61042393488</v>
      </c>
      <c r="J171" s="72">
        <v>1028022.7830947459</v>
      </c>
      <c r="K171" s="72">
        <v>1264296.2848230854</v>
      </c>
      <c r="L171" s="18">
        <v>5</v>
      </c>
      <c r="M171" s="65">
        <v>1.5</v>
      </c>
      <c r="N171" s="66">
        <v>337363.95014591253</v>
      </c>
      <c r="O171" s="66">
        <v>368117.00308750226</v>
      </c>
      <c r="P171" s="66">
        <v>525223.74028262321</v>
      </c>
      <c r="Q171" s="66">
        <v>685348.52206316392</v>
      </c>
      <c r="R171" s="66">
        <v>842864.1898820569</v>
      </c>
      <c r="S171" s="73">
        <v>842864.1898820569</v>
      </c>
      <c r="T171" s="46" t="s">
        <v>34</v>
      </c>
      <c r="V171" s="109">
        <v>130000</v>
      </c>
      <c r="W171" s="74"/>
      <c r="X171" s="95" t="s">
        <v>147</v>
      </c>
      <c r="Y171" s="95" t="s">
        <v>147</v>
      </c>
      <c r="Z171" s="75"/>
      <c r="AA171" s="89">
        <v>2.718</v>
      </c>
      <c r="AB171" s="89">
        <v>3.58</v>
      </c>
      <c r="AC171" s="90" t="s">
        <v>147</v>
      </c>
      <c r="AD171" s="90" t="s">
        <v>147</v>
      </c>
      <c r="AE171" s="91">
        <v>19.47386874</v>
      </c>
      <c r="AF171" s="91">
        <v>37.570999999999998</v>
      </c>
    </row>
    <row r="172" spans="1:32" s="47" customFormat="1" hidden="1" x14ac:dyDescent="0.35">
      <c r="A172" s="47" t="s">
        <v>53</v>
      </c>
      <c r="B172" s="77" t="s">
        <v>43</v>
      </c>
      <c r="C172" s="47">
        <v>2018</v>
      </c>
      <c r="D172" s="47" t="s">
        <v>60</v>
      </c>
      <c r="E172" s="47" t="s">
        <v>21</v>
      </c>
      <c r="F172" s="56" t="s">
        <v>5</v>
      </c>
      <c r="J172" s="47">
        <v>3371667.8357180706</v>
      </c>
      <c r="L172" s="50">
        <v>4</v>
      </c>
      <c r="M172" s="51">
        <v>1.5</v>
      </c>
      <c r="N172" s="58"/>
      <c r="O172" s="58"/>
      <c r="P172" s="58"/>
      <c r="Q172" s="58"/>
      <c r="R172" s="58"/>
      <c r="S172" s="57">
        <v>2247778.5571453804</v>
      </c>
      <c r="T172" s="47" t="s">
        <v>44</v>
      </c>
      <c r="V172" s="47">
        <v>1454154</v>
      </c>
      <c r="W172" s="47" t="s">
        <v>155</v>
      </c>
      <c r="X172" s="53">
        <v>1902479.1869999999</v>
      </c>
      <c r="Y172" s="53">
        <v>2465848.915</v>
      </c>
      <c r="Z172" s="59"/>
      <c r="AA172" s="86">
        <v>3.0129999999999999</v>
      </c>
      <c r="AB172" s="86">
        <v>3.2</v>
      </c>
      <c r="AC172" s="87">
        <v>82.262</v>
      </c>
      <c r="AD172" s="87">
        <v>4.3869999999999996</v>
      </c>
      <c r="AE172" s="88">
        <v>47.531249870000003</v>
      </c>
      <c r="AF172" s="88">
        <v>59.540999999999997</v>
      </c>
    </row>
    <row r="173" spans="1:32" hidden="1" x14ac:dyDescent="0.35">
      <c r="A173" t="s">
        <v>53</v>
      </c>
      <c r="B173" s="77" t="s">
        <v>43</v>
      </c>
      <c r="C173">
        <v>2018</v>
      </c>
      <c r="D173" t="s">
        <v>60</v>
      </c>
      <c r="E173" t="s">
        <v>21</v>
      </c>
      <c r="F173" s="10" t="s">
        <v>6</v>
      </c>
      <c r="G173" s="76"/>
      <c r="J173">
        <v>1915708.0440000002</v>
      </c>
      <c r="L173" s="18">
        <v>4</v>
      </c>
      <c r="M173" s="19">
        <v>1.5</v>
      </c>
      <c r="N173" s="40"/>
      <c r="O173" s="40"/>
      <c r="P173" s="40"/>
      <c r="Q173" s="40"/>
      <c r="R173" s="40"/>
      <c r="S173" s="42">
        <v>2247778.5571453804</v>
      </c>
      <c r="T173" t="s">
        <v>44</v>
      </c>
      <c r="V173">
        <v>1454155</v>
      </c>
      <c r="W173" t="s">
        <v>155</v>
      </c>
      <c r="X173" s="94">
        <v>1902479.1869999999</v>
      </c>
      <c r="Y173" s="94">
        <v>2465848.915</v>
      </c>
      <c r="Z173" s="22"/>
      <c r="AA173" s="89">
        <v>3.0129999999999999</v>
      </c>
      <c r="AB173" s="89">
        <v>3.2</v>
      </c>
      <c r="AC173" s="90">
        <v>82.262</v>
      </c>
      <c r="AD173" s="90">
        <v>4.3869999999999996</v>
      </c>
      <c r="AE173" s="91">
        <v>47.531249870000003</v>
      </c>
      <c r="AF173" s="91">
        <v>59.540999999999997</v>
      </c>
    </row>
    <row r="174" spans="1:32" hidden="1" x14ac:dyDescent="0.35">
      <c r="A174" t="s">
        <v>53</v>
      </c>
      <c r="B174" s="77" t="s">
        <v>43</v>
      </c>
      <c r="C174">
        <v>2018</v>
      </c>
      <c r="D174" t="s">
        <v>60</v>
      </c>
      <c r="E174" t="s">
        <v>21</v>
      </c>
      <c r="F174" s="10" t="s">
        <v>7</v>
      </c>
      <c r="J174">
        <v>624387.69070416631</v>
      </c>
      <c r="L174" s="18">
        <v>4</v>
      </c>
      <c r="M174" s="19">
        <v>1.5</v>
      </c>
      <c r="N174" s="40"/>
      <c r="O174" s="40"/>
      <c r="P174" s="40"/>
      <c r="Q174" s="40"/>
      <c r="R174" s="40"/>
      <c r="S174" s="42">
        <v>2247778.5571453804</v>
      </c>
      <c r="T174" t="s">
        <v>44</v>
      </c>
      <c r="V174">
        <v>1454156</v>
      </c>
      <c r="W174" t="s">
        <v>155</v>
      </c>
      <c r="X174" s="94">
        <v>1902479.1869999999</v>
      </c>
      <c r="Y174" s="94">
        <v>2465848.915</v>
      </c>
      <c r="Z174" s="22"/>
      <c r="AA174" s="89">
        <v>3.0129999999999999</v>
      </c>
      <c r="AB174" s="89">
        <v>3.2</v>
      </c>
      <c r="AC174" s="90">
        <v>82.262</v>
      </c>
      <c r="AD174" s="90">
        <v>4.3869999999999996</v>
      </c>
      <c r="AE174" s="91">
        <v>47.531249870000003</v>
      </c>
      <c r="AF174" s="91">
        <v>59.540999999999997</v>
      </c>
    </row>
    <row r="175" spans="1:32" hidden="1" x14ac:dyDescent="0.35">
      <c r="A175" t="s">
        <v>53</v>
      </c>
      <c r="B175" s="77" t="s">
        <v>43</v>
      </c>
      <c r="C175">
        <v>2018</v>
      </c>
      <c r="D175" t="s">
        <v>60</v>
      </c>
      <c r="E175" t="s">
        <v>21</v>
      </c>
      <c r="F175" s="3" t="s">
        <v>8</v>
      </c>
      <c r="J175">
        <v>198156.93599999999</v>
      </c>
      <c r="L175" s="18">
        <v>4</v>
      </c>
      <c r="M175" s="19">
        <v>1.5</v>
      </c>
      <c r="N175" s="40"/>
      <c r="O175" s="40"/>
      <c r="P175" s="40"/>
      <c r="Q175" s="40"/>
      <c r="R175" s="40"/>
      <c r="S175" s="42">
        <v>2247778.5571453804</v>
      </c>
      <c r="T175" t="s">
        <v>44</v>
      </c>
      <c r="V175">
        <v>1454157</v>
      </c>
      <c r="W175" t="s">
        <v>155</v>
      </c>
      <c r="X175" s="94">
        <v>1902479.1869999999</v>
      </c>
      <c r="Y175" s="94">
        <v>2465848.915</v>
      </c>
      <c r="AA175" s="89">
        <v>3.0129999999999999</v>
      </c>
      <c r="AB175" s="89">
        <v>3.2</v>
      </c>
      <c r="AC175" s="90">
        <v>82.262</v>
      </c>
      <c r="AD175" s="90">
        <v>4.3869999999999996</v>
      </c>
      <c r="AE175" s="91">
        <v>47.531249870000003</v>
      </c>
      <c r="AF175" s="91">
        <v>59.540999999999997</v>
      </c>
    </row>
    <row r="176" spans="1:32" hidden="1" x14ac:dyDescent="0.35">
      <c r="A176" t="s">
        <v>53</v>
      </c>
      <c r="B176" s="77" t="s">
        <v>43</v>
      </c>
      <c r="C176">
        <v>2018</v>
      </c>
      <c r="D176" t="s">
        <v>60</v>
      </c>
      <c r="E176" t="s">
        <v>21</v>
      </c>
      <c r="F176" s="3" t="s">
        <v>9</v>
      </c>
      <c r="J176">
        <v>633415.1650139041</v>
      </c>
      <c r="L176" s="18">
        <v>4</v>
      </c>
      <c r="M176" s="19">
        <v>1.5</v>
      </c>
      <c r="N176" s="40"/>
      <c r="O176" s="40"/>
      <c r="P176" s="40"/>
      <c r="Q176" s="40"/>
      <c r="R176" s="40"/>
      <c r="S176" s="42">
        <v>2247778.5571453804</v>
      </c>
      <c r="T176" t="s">
        <v>44</v>
      </c>
      <c r="V176">
        <v>1454158</v>
      </c>
      <c r="W176" t="s">
        <v>155</v>
      </c>
      <c r="X176" s="94">
        <v>1902479.1869999999</v>
      </c>
      <c r="Y176" s="94">
        <v>2465848.915</v>
      </c>
      <c r="AA176" s="89">
        <v>3.0129999999999999</v>
      </c>
      <c r="AB176" s="89">
        <v>3.2</v>
      </c>
      <c r="AC176" s="90">
        <v>82.262</v>
      </c>
      <c r="AD176" s="90">
        <v>4.3869999999999996</v>
      </c>
      <c r="AE176" s="91">
        <v>47.531249870000003</v>
      </c>
      <c r="AF176" s="91">
        <v>59.540999999999997</v>
      </c>
    </row>
    <row r="177" spans="1:32" hidden="1" x14ac:dyDescent="0.35">
      <c r="A177" t="s">
        <v>53</v>
      </c>
      <c r="B177" s="77" t="s">
        <v>43</v>
      </c>
      <c r="C177">
        <v>2018</v>
      </c>
      <c r="D177" t="s">
        <v>60</v>
      </c>
      <c r="E177" s="45" t="s">
        <v>35</v>
      </c>
      <c r="F177" s="9" t="s">
        <v>5</v>
      </c>
      <c r="J177">
        <v>3263639.1715431195</v>
      </c>
      <c r="L177" s="18">
        <v>4</v>
      </c>
      <c r="M177" s="19">
        <v>1.5</v>
      </c>
      <c r="N177" s="40"/>
      <c r="O177" s="40"/>
      <c r="P177" s="40"/>
      <c r="Q177" s="40"/>
      <c r="R177" s="40"/>
      <c r="S177" s="42">
        <v>2175759.4476954131</v>
      </c>
      <c r="T177" t="s">
        <v>44</v>
      </c>
      <c r="V177" s="109">
        <v>2355560.4</v>
      </c>
      <c r="W177" s="102" t="s">
        <v>45</v>
      </c>
      <c r="AA177" s="89"/>
      <c r="AB177" s="89"/>
      <c r="AC177" s="90"/>
      <c r="AD177" s="90"/>
      <c r="AE177" s="91"/>
      <c r="AF177" s="91"/>
    </row>
    <row r="178" spans="1:32" hidden="1" x14ac:dyDescent="0.35">
      <c r="A178" t="s">
        <v>53</v>
      </c>
      <c r="B178" s="77" t="s">
        <v>43</v>
      </c>
      <c r="C178">
        <v>2018</v>
      </c>
      <c r="D178" t="s">
        <v>60</v>
      </c>
      <c r="E178" s="45" t="s">
        <v>35</v>
      </c>
      <c r="F178" s="10" t="s">
        <v>6</v>
      </c>
      <c r="J178">
        <v>1870748.0414999998</v>
      </c>
      <c r="L178" s="18">
        <v>4</v>
      </c>
      <c r="M178" s="19">
        <v>1.5</v>
      </c>
      <c r="N178" s="40"/>
      <c r="O178" s="40"/>
      <c r="P178" s="40"/>
      <c r="Q178" s="40"/>
      <c r="R178" s="40"/>
      <c r="S178" s="42">
        <v>2175759.4476954131</v>
      </c>
      <c r="T178" t="s">
        <v>44</v>
      </c>
      <c r="V178" s="109">
        <v>2355560.4</v>
      </c>
      <c r="W178" s="102" t="s">
        <v>45</v>
      </c>
      <c r="AA178" s="89"/>
      <c r="AB178" s="89"/>
      <c r="AC178" s="90"/>
      <c r="AD178" s="90"/>
      <c r="AE178" s="91"/>
      <c r="AF178" s="91"/>
    </row>
    <row r="179" spans="1:32" hidden="1" x14ac:dyDescent="0.35">
      <c r="A179" t="s">
        <v>53</v>
      </c>
      <c r="B179" s="77" t="s">
        <v>43</v>
      </c>
      <c r="C179">
        <v>2018</v>
      </c>
      <c r="D179" t="s">
        <v>60</v>
      </c>
      <c r="E179" s="45" t="s">
        <v>35</v>
      </c>
      <c r="F179" s="10" t="s">
        <v>7</v>
      </c>
      <c r="J179">
        <v>550224.47392928437</v>
      </c>
      <c r="L179" s="18">
        <v>4</v>
      </c>
      <c r="M179" s="19">
        <v>1.5</v>
      </c>
      <c r="N179" s="40"/>
      <c r="O179" s="40"/>
      <c r="P179" s="40"/>
      <c r="Q179" s="40"/>
      <c r="R179" s="40"/>
      <c r="S179" s="42">
        <v>2175759.4476954131</v>
      </c>
      <c r="T179" t="s">
        <v>44</v>
      </c>
      <c r="V179" s="109">
        <v>2355560.4</v>
      </c>
      <c r="W179" s="102" t="s">
        <v>45</v>
      </c>
      <c r="AA179" s="89"/>
      <c r="AB179" s="89"/>
      <c r="AC179" s="90"/>
      <c r="AD179" s="90"/>
      <c r="AE179" s="91"/>
      <c r="AF179" s="91"/>
    </row>
    <row r="180" spans="1:32" hidden="1" x14ac:dyDescent="0.35">
      <c r="A180" t="s">
        <v>53</v>
      </c>
      <c r="B180" s="77" t="s">
        <v>43</v>
      </c>
      <c r="C180">
        <v>2018</v>
      </c>
      <c r="D180" t="s">
        <v>60</v>
      </c>
      <c r="E180" s="45" t="s">
        <v>35</v>
      </c>
      <c r="F180" s="3" t="s">
        <v>8</v>
      </c>
      <c r="J180">
        <v>187549.6</v>
      </c>
      <c r="L180" s="18">
        <v>4</v>
      </c>
      <c r="M180" s="19">
        <v>1.5</v>
      </c>
      <c r="N180" s="40"/>
      <c r="O180" s="40"/>
      <c r="P180" s="40"/>
      <c r="Q180" s="40"/>
      <c r="R180" s="40"/>
      <c r="S180" s="42">
        <v>2175759.4476954131</v>
      </c>
      <c r="T180" t="s">
        <v>44</v>
      </c>
      <c r="V180" s="109">
        <v>2355560.4</v>
      </c>
      <c r="W180" s="102" t="s">
        <v>45</v>
      </c>
      <c r="AA180" s="89"/>
      <c r="AB180" s="89"/>
      <c r="AC180" s="90"/>
      <c r="AD180" s="90"/>
      <c r="AE180" s="91"/>
      <c r="AF180" s="91"/>
    </row>
    <row r="181" spans="1:32" hidden="1" x14ac:dyDescent="0.35">
      <c r="A181" t="s">
        <v>53</v>
      </c>
      <c r="B181" s="77" t="s">
        <v>43</v>
      </c>
      <c r="C181">
        <v>2018</v>
      </c>
      <c r="D181" t="s">
        <v>60</v>
      </c>
      <c r="E181" s="45" t="s">
        <v>35</v>
      </c>
      <c r="F181" s="3" t="s">
        <v>9</v>
      </c>
      <c r="J181">
        <v>655117.05611383507</v>
      </c>
      <c r="L181" s="18">
        <v>4</v>
      </c>
      <c r="M181" s="19">
        <v>1.5</v>
      </c>
      <c r="N181" s="40"/>
      <c r="O181" s="40"/>
      <c r="P181" s="40"/>
      <c r="Q181" s="40"/>
      <c r="R181" s="40"/>
      <c r="S181" s="42">
        <v>2175759.4476954131</v>
      </c>
      <c r="T181" t="s">
        <v>44</v>
      </c>
      <c r="V181" s="109">
        <v>2355560.4</v>
      </c>
      <c r="W181" s="102" t="s">
        <v>45</v>
      </c>
      <c r="AA181" s="89"/>
      <c r="AB181" s="89"/>
      <c r="AC181" s="90"/>
      <c r="AD181" s="90"/>
      <c r="AE181" s="91"/>
      <c r="AF181" s="91"/>
    </row>
    <row r="182" spans="1:32" hidden="1" x14ac:dyDescent="0.35">
      <c r="A182" t="s">
        <v>53</v>
      </c>
      <c r="B182" s="77" t="s">
        <v>43</v>
      </c>
      <c r="C182">
        <v>2018</v>
      </c>
      <c r="D182" t="s">
        <v>60</v>
      </c>
      <c r="E182" t="s">
        <v>36</v>
      </c>
      <c r="F182" s="9" t="s">
        <v>5</v>
      </c>
      <c r="J182">
        <v>4122268.7565380973</v>
      </c>
      <c r="L182" s="18">
        <v>4</v>
      </c>
      <c r="M182" s="19">
        <v>1.5</v>
      </c>
      <c r="N182" s="40"/>
      <c r="O182" s="40"/>
      <c r="P182" s="40"/>
      <c r="Q182" s="40"/>
      <c r="R182" s="40"/>
      <c r="S182" s="42">
        <v>2748179.1710253982</v>
      </c>
      <c r="T182" t="s">
        <v>44</v>
      </c>
      <c r="V182" s="109">
        <v>3648035</v>
      </c>
      <c r="W182" s="102" t="s">
        <v>45</v>
      </c>
      <c r="AA182" s="89"/>
      <c r="AB182" s="89"/>
      <c r="AC182" s="90"/>
      <c r="AD182" s="90"/>
      <c r="AE182" s="91"/>
      <c r="AF182" s="91"/>
    </row>
    <row r="183" spans="1:32" hidden="1" x14ac:dyDescent="0.35">
      <c r="A183" t="s">
        <v>53</v>
      </c>
      <c r="B183" s="77" t="s">
        <v>43</v>
      </c>
      <c r="C183">
        <v>2018</v>
      </c>
      <c r="D183" t="s">
        <v>60</v>
      </c>
      <c r="E183" t="s">
        <v>36</v>
      </c>
      <c r="F183" s="10" t="s">
        <v>6</v>
      </c>
      <c r="J183">
        <v>2374721.8279999997</v>
      </c>
      <c r="L183" s="18">
        <v>4</v>
      </c>
      <c r="M183" s="19">
        <v>1.5</v>
      </c>
      <c r="N183" s="40"/>
      <c r="O183" s="40"/>
      <c r="P183" s="40"/>
      <c r="Q183" s="40"/>
      <c r="R183" s="40"/>
      <c r="S183" s="42">
        <v>2748179.1710253982</v>
      </c>
      <c r="T183" t="s">
        <v>44</v>
      </c>
      <c r="V183" s="109">
        <v>3648035</v>
      </c>
      <c r="W183" s="102" t="s">
        <v>45</v>
      </c>
      <c r="AA183" s="89"/>
      <c r="AB183" s="89"/>
      <c r="AC183" s="90"/>
      <c r="AD183" s="90"/>
      <c r="AE183" s="91"/>
      <c r="AF183" s="91"/>
    </row>
    <row r="184" spans="1:32" hidden="1" x14ac:dyDescent="0.35">
      <c r="A184" t="s">
        <v>53</v>
      </c>
      <c r="B184" s="77" t="s">
        <v>43</v>
      </c>
      <c r="C184">
        <v>2018</v>
      </c>
      <c r="D184" t="s">
        <v>60</v>
      </c>
      <c r="E184" t="s">
        <v>36</v>
      </c>
      <c r="F184" s="10" t="s">
        <v>7</v>
      </c>
      <c r="J184">
        <v>867109.68027108151</v>
      </c>
      <c r="L184" s="18">
        <v>4</v>
      </c>
      <c r="M184" s="19">
        <v>1.5</v>
      </c>
      <c r="N184" s="40"/>
      <c r="O184" s="40"/>
      <c r="P184" s="40"/>
      <c r="Q184" s="40"/>
      <c r="R184" s="40"/>
      <c r="S184" s="42">
        <v>2748179.1710253982</v>
      </c>
      <c r="T184" t="s">
        <v>44</v>
      </c>
      <c r="V184" s="109">
        <v>3648035</v>
      </c>
      <c r="W184" s="102" t="s">
        <v>45</v>
      </c>
      <c r="AA184" s="89"/>
      <c r="AB184" s="89"/>
      <c r="AC184" s="90"/>
      <c r="AD184" s="90"/>
      <c r="AE184" s="91"/>
      <c r="AF184" s="91"/>
    </row>
    <row r="185" spans="1:32" hidden="1" x14ac:dyDescent="0.35">
      <c r="A185" t="s">
        <v>53</v>
      </c>
      <c r="B185" s="77" t="s">
        <v>43</v>
      </c>
      <c r="C185">
        <v>2018</v>
      </c>
      <c r="D185" t="s">
        <v>60</v>
      </c>
      <c r="E185" t="s">
        <v>36</v>
      </c>
      <c r="F185" s="3" t="s">
        <v>8</v>
      </c>
      <c r="J185">
        <v>204887.52</v>
      </c>
      <c r="L185" s="18">
        <v>4</v>
      </c>
      <c r="M185" s="19">
        <v>1.5</v>
      </c>
      <c r="N185" s="40"/>
      <c r="O185" s="40"/>
      <c r="P185" s="40"/>
      <c r="Q185" s="40"/>
      <c r="R185" s="40"/>
      <c r="S185" s="42">
        <v>2748179.1710253982</v>
      </c>
      <c r="T185" t="s">
        <v>44</v>
      </c>
      <c r="V185" s="109">
        <v>3648035</v>
      </c>
      <c r="W185" s="102" t="s">
        <v>45</v>
      </c>
      <c r="AA185" s="89"/>
      <c r="AB185" s="89"/>
      <c r="AC185" s="90"/>
      <c r="AD185" s="90"/>
      <c r="AE185" s="91"/>
      <c r="AF185" s="91"/>
    </row>
    <row r="186" spans="1:32" hidden="1" x14ac:dyDescent="0.35">
      <c r="A186" t="s">
        <v>53</v>
      </c>
      <c r="B186" s="77" t="s">
        <v>43</v>
      </c>
      <c r="C186">
        <v>2018</v>
      </c>
      <c r="D186" t="s">
        <v>60</v>
      </c>
      <c r="E186" t="s">
        <v>36</v>
      </c>
      <c r="F186" s="3" t="s">
        <v>9</v>
      </c>
      <c r="J186">
        <v>675549.72826701589</v>
      </c>
      <c r="L186" s="18">
        <v>4</v>
      </c>
      <c r="M186" s="19">
        <v>1.5</v>
      </c>
      <c r="N186" s="40"/>
      <c r="O186" s="40"/>
      <c r="P186" s="40"/>
      <c r="Q186" s="40"/>
      <c r="R186" s="40"/>
      <c r="S186" s="42">
        <v>2748179.1710253982</v>
      </c>
      <c r="T186" t="s">
        <v>44</v>
      </c>
      <c r="V186" s="109">
        <v>3648035</v>
      </c>
      <c r="W186" s="102" t="s">
        <v>45</v>
      </c>
      <c r="AA186" s="89"/>
      <c r="AB186" s="89"/>
      <c r="AC186" s="90"/>
      <c r="AD186" s="90"/>
      <c r="AE186" s="91"/>
      <c r="AF186" s="91"/>
    </row>
    <row r="187" spans="1:32" hidden="1" x14ac:dyDescent="0.35">
      <c r="A187" t="s">
        <v>53</v>
      </c>
      <c r="B187" s="77" t="s">
        <v>43</v>
      </c>
      <c r="C187">
        <v>2018</v>
      </c>
      <c r="D187" t="s">
        <v>60</v>
      </c>
      <c r="E187" t="s">
        <v>37</v>
      </c>
      <c r="F187" s="9" t="s">
        <v>5</v>
      </c>
      <c r="J187">
        <v>3271123.5081730373</v>
      </c>
      <c r="L187" s="18">
        <v>4</v>
      </c>
      <c r="M187" s="19">
        <v>1.5</v>
      </c>
      <c r="N187" s="40"/>
      <c r="O187" s="40"/>
      <c r="P187" s="40"/>
      <c r="Q187" s="40"/>
      <c r="R187" s="40"/>
      <c r="S187" s="42">
        <v>2180749.0054486915</v>
      </c>
      <c r="T187" t="s">
        <v>44</v>
      </c>
      <c r="V187" s="109">
        <v>1618571.6</v>
      </c>
      <c r="W187" s="102" t="s">
        <v>45</v>
      </c>
      <c r="AA187" s="89"/>
      <c r="AB187" s="89"/>
      <c r="AC187" s="90"/>
      <c r="AD187" s="90"/>
      <c r="AE187" s="91"/>
      <c r="AF187" s="91"/>
    </row>
    <row r="188" spans="1:32" hidden="1" x14ac:dyDescent="0.35">
      <c r="A188" t="s">
        <v>53</v>
      </c>
      <c r="B188" s="77" t="s">
        <v>43</v>
      </c>
      <c r="C188">
        <v>2018</v>
      </c>
      <c r="D188" t="s">
        <v>60</v>
      </c>
      <c r="E188" t="s">
        <v>37</v>
      </c>
      <c r="F188" s="10" t="s">
        <v>6</v>
      </c>
      <c r="J188">
        <v>2000310.9843333333</v>
      </c>
      <c r="L188" s="18">
        <v>4</v>
      </c>
      <c r="M188" s="19">
        <v>1.5</v>
      </c>
      <c r="N188" s="40"/>
      <c r="O188" s="40"/>
      <c r="P188" s="40"/>
      <c r="Q188" s="40"/>
      <c r="R188" s="40"/>
      <c r="S188" s="42">
        <v>2180749.0054486915</v>
      </c>
      <c r="T188" t="s">
        <v>44</v>
      </c>
      <c r="V188" s="109">
        <v>1618571.6</v>
      </c>
      <c r="W188" s="102" t="s">
        <v>45</v>
      </c>
      <c r="AA188" s="89"/>
      <c r="AB188" s="89"/>
      <c r="AC188" s="90"/>
      <c r="AD188" s="90"/>
      <c r="AE188" s="91"/>
      <c r="AF188" s="91"/>
    </row>
    <row r="189" spans="1:32" hidden="1" x14ac:dyDescent="0.35">
      <c r="A189" t="s">
        <v>53</v>
      </c>
      <c r="B189" s="77" t="s">
        <v>43</v>
      </c>
      <c r="C189">
        <v>2018</v>
      </c>
      <c r="D189" t="s">
        <v>60</v>
      </c>
      <c r="E189" t="s">
        <v>37</v>
      </c>
      <c r="F189" s="10" t="s">
        <v>7</v>
      </c>
      <c r="J189">
        <v>462592.2694388185</v>
      </c>
      <c r="L189" s="18">
        <v>4</v>
      </c>
      <c r="M189" s="19">
        <v>1.5</v>
      </c>
      <c r="N189" s="40"/>
      <c r="O189" s="40"/>
      <c r="P189" s="40"/>
      <c r="Q189" s="40"/>
      <c r="R189" s="40"/>
      <c r="S189" s="42">
        <v>2180749.0054486915</v>
      </c>
      <c r="T189" t="s">
        <v>44</v>
      </c>
      <c r="V189" s="109">
        <v>1618571.6</v>
      </c>
      <c r="W189" s="102" t="s">
        <v>45</v>
      </c>
      <c r="AA189" s="89"/>
      <c r="AB189" s="89"/>
      <c r="AC189" s="90"/>
      <c r="AD189" s="90"/>
      <c r="AE189" s="91"/>
      <c r="AF189" s="91"/>
    </row>
    <row r="190" spans="1:32" hidden="1" x14ac:dyDescent="0.35">
      <c r="A190" t="s">
        <v>53</v>
      </c>
      <c r="B190" s="77" t="s">
        <v>43</v>
      </c>
      <c r="C190">
        <v>2018</v>
      </c>
      <c r="D190" t="s">
        <v>60</v>
      </c>
      <c r="E190" t="s">
        <v>37</v>
      </c>
      <c r="F190" s="3" t="s">
        <v>8</v>
      </c>
      <c r="J190">
        <v>209352.68</v>
      </c>
      <c r="L190" s="18">
        <v>4</v>
      </c>
      <c r="M190" s="19">
        <v>1.5</v>
      </c>
      <c r="N190" s="40"/>
      <c r="O190" s="40"/>
      <c r="P190" s="40"/>
      <c r="Q190" s="40"/>
      <c r="R190" s="40"/>
      <c r="S190" s="42">
        <v>2180749.0054486915</v>
      </c>
      <c r="T190" t="s">
        <v>44</v>
      </c>
      <c r="V190" s="109">
        <v>1618571.6</v>
      </c>
      <c r="W190" s="102" t="s">
        <v>45</v>
      </c>
      <c r="AA190" s="89"/>
      <c r="AB190" s="89"/>
      <c r="AC190" s="90"/>
      <c r="AD190" s="90"/>
      <c r="AE190" s="91"/>
      <c r="AF190" s="91"/>
    </row>
    <row r="191" spans="1:32" hidden="1" x14ac:dyDescent="0.35">
      <c r="A191" t="s">
        <v>53</v>
      </c>
      <c r="B191" s="77" t="s">
        <v>43</v>
      </c>
      <c r="C191">
        <v>2018</v>
      </c>
      <c r="D191" t="s">
        <v>60</v>
      </c>
      <c r="E191" t="s">
        <v>37</v>
      </c>
      <c r="F191" s="3" t="s">
        <v>9</v>
      </c>
      <c r="J191">
        <v>598867.57440088596</v>
      </c>
      <c r="L191" s="18">
        <v>4</v>
      </c>
      <c r="M191" s="19">
        <v>1.5</v>
      </c>
      <c r="N191" s="40"/>
      <c r="O191" s="40"/>
      <c r="P191" s="40"/>
      <c r="Q191" s="40"/>
      <c r="R191" s="40"/>
      <c r="S191" s="42">
        <v>2180749.0054486915</v>
      </c>
      <c r="T191" t="s">
        <v>44</v>
      </c>
      <c r="V191" s="109">
        <v>1618571.6</v>
      </c>
      <c r="W191" s="102" t="s">
        <v>45</v>
      </c>
      <c r="AA191" s="89"/>
      <c r="AB191" s="89"/>
      <c r="AC191" s="90"/>
      <c r="AD191" s="90"/>
      <c r="AE191" s="91"/>
      <c r="AF191" s="91"/>
    </row>
    <row r="192" spans="1:32" hidden="1" x14ac:dyDescent="0.35">
      <c r="A192" t="s">
        <v>53</v>
      </c>
      <c r="B192" s="77" t="s">
        <v>43</v>
      </c>
      <c r="C192">
        <v>2018</v>
      </c>
      <c r="D192" t="s">
        <v>60</v>
      </c>
      <c r="E192" t="s">
        <v>38</v>
      </c>
      <c r="F192" s="9" t="s">
        <v>5</v>
      </c>
      <c r="J192">
        <v>3128568.0714770118</v>
      </c>
      <c r="L192" s="18">
        <v>4</v>
      </c>
      <c r="M192" s="19">
        <v>1.5</v>
      </c>
      <c r="N192" s="40"/>
      <c r="O192" s="40"/>
      <c r="P192" s="40"/>
      <c r="Q192" s="40"/>
      <c r="R192" s="40"/>
      <c r="S192" s="42">
        <v>2085712.0476513412</v>
      </c>
      <c r="T192" t="s">
        <v>44</v>
      </c>
      <c r="V192" s="109">
        <v>1870719</v>
      </c>
      <c r="W192" s="102" t="s">
        <v>45</v>
      </c>
      <c r="AA192" s="89"/>
      <c r="AB192" s="89"/>
      <c r="AC192" s="90"/>
      <c r="AD192" s="90"/>
      <c r="AE192" s="91"/>
      <c r="AF192" s="91"/>
    </row>
    <row r="193" spans="1:32" hidden="1" x14ac:dyDescent="0.35">
      <c r="A193" t="s">
        <v>53</v>
      </c>
      <c r="B193" s="77" t="s">
        <v>43</v>
      </c>
      <c r="C193">
        <v>2018</v>
      </c>
      <c r="D193" t="s">
        <v>60</v>
      </c>
      <c r="E193" t="s">
        <v>38</v>
      </c>
      <c r="F193" s="10" t="s">
        <v>6</v>
      </c>
      <c r="J193">
        <v>1974105.3105000001</v>
      </c>
      <c r="L193" s="18">
        <v>4</v>
      </c>
      <c r="M193" s="19">
        <v>1.5</v>
      </c>
      <c r="N193" s="40"/>
      <c r="O193" s="40"/>
      <c r="P193" s="40"/>
      <c r="Q193" s="40"/>
      <c r="R193" s="40"/>
      <c r="S193" s="42">
        <v>2085712.0476513412</v>
      </c>
      <c r="T193" t="s">
        <v>44</v>
      </c>
      <c r="V193" s="109">
        <v>1870719</v>
      </c>
      <c r="W193" s="102" t="s">
        <v>45</v>
      </c>
      <c r="AA193" s="89"/>
      <c r="AB193" s="89"/>
      <c r="AC193" s="90"/>
      <c r="AD193" s="90"/>
      <c r="AE193" s="91"/>
      <c r="AF193" s="91"/>
    </row>
    <row r="194" spans="1:32" hidden="1" x14ac:dyDescent="0.35">
      <c r="A194" t="s">
        <v>53</v>
      </c>
      <c r="B194" s="77" t="s">
        <v>43</v>
      </c>
      <c r="C194">
        <v>2018</v>
      </c>
      <c r="D194" t="s">
        <v>60</v>
      </c>
      <c r="E194" t="s">
        <v>38</v>
      </c>
      <c r="F194" s="10" t="s">
        <v>7</v>
      </c>
      <c r="J194">
        <v>539419.37766869785</v>
      </c>
      <c r="L194" s="18">
        <v>4</v>
      </c>
      <c r="M194" s="19">
        <v>1.5</v>
      </c>
      <c r="N194" s="40"/>
      <c r="O194" s="40"/>
      <c r="P194" s="40"/>
      <c r="Q194" s="40"/>
      <c r="R194" s="40"/>
      <c r="S194" s="42">
        <v>2085712.0476513412</v>
      </c>
      <c r="T194" t="s">
        <v>44</v>
      </c>
      <c r="V194" s="109">
        <v>1870719</v>
      </c>
      <c r="W194" s="102" t="s">
        <v>45</v>
      </c>
      <c r="AA194" s="89"/>
      <c r="AB194" s="89"/>
      <c r="AC194" s="90"/>
      <c r="AD194" s="90"/>
      <c r="AE194" s="91"/>
      <c r="AF194" s="91"/>
    </row>
    <row r="195" spans="1:32" hidden="1" x14ac:dyDescent="0.35">
      <c r="A195" t="s">
        <v>53</v>
      </c>
      <c r="B195" s="77" t="s">
        <v>43</v>
      </c>
      <c r="C195">
        <v>2018</v>
      </c>
      <c r="D195" t="s">
        <v>60</v>
      </c>
      <c r="E195" t="s">
        <v>38</v>
      </c>
      <c r="F195" s="3" t="s">
        <v>8</v>
      </c>
      <c r="J195">
        <v>142195.03999999998</v>
      </c>
      <c r="L195" s="18">
        <v>4</v>
      </c>
      <c r="M195" s="19">
        <v>1.5</v>
      </c>
      <c r="N195" s="40"/>
      <c r="O195" s="40"/>
      <c r="P195" s="40"/>
      <c r="Q195" s="40"/>
      <c r="R195" s="40"/>
      <c r="S195" s="42">
        <v>2085712.0476513412</v>
      </c>
      <c r="T195" t="s">
        <v>44</v>
      </c>
      <c r="V195" s="109">
        <v>1870719</v>
      </c>
      <c r="W195" s="102" t="s">
        <v>45</v>
      </c>
      <c r="AA195" s="89"/>
      <c r="AB195" s="89"/>
      <c r="AC195" s="90"/>
      <c r="AD195" s="90"/>
      <c r="AE195" s="91"/>
      <c r="AF195" s="91"/>
    </row>
    <row r="196" spans="1:32" hidden="1" x14ac:dyDescent="0.35">
      <c r="A196" t="s">
        <v>53</v>
      </c>
      <c r="B196" s="77" t="s">
        <v>43</v>
      </c>
      <c r="C196">
        <v>2018</v>
      </c>
      <c r="D196" t="s">
        <v>60</v>
      </c>
      <c r="E196" t="s">
        <v>38</v>
      </c>
      <c r="F196" s="3" t="s">
        <v>9</v>
      </c>
      <c r="J196">
        <v>472848.34330831398</v>
      </c>
      <c r="L196" s="18">
        <v>4</v>
      </c>
      <c r="M196" s="19">
        <v>1.5</v>
      </c>
      <c r="N196" s="40"/>
      <c r="O196" s="40"/>
      <c r="P196" s="40"/>
      <c r="Q196" s="40"/>
      <c r="R196" s="40"/>
      <c r="S196" s="42">
        <v>2085712.0476513412</v>
      </c>
      <c r="T196" t="s">
        <v>44</v>
      </c>
      <c r="V196" s="109">
        <v>1870719</v>
      </c>
      <c r="W196" s="102" t="s">
        <v>45</v>
      </c>
      <c r="AA196" s="89"/>
      <c r="AB196" s="89"/>
      <c r="AC196" s="90"/>
      <c r="AD196" s="90"/>
      <c r="AE196" s="91"/>
      <c r="AF196" s="91"/>
    </row>
    <row r="197" spans="1:32" hidden="1" x14ac:dyDescent="0.35">
      <c r="A197" t="s">
        <v>53</v>
      </c>
      <c r="B197" s="77" t="s">
        <v>43</v>
      </c>
      <c r="C197">
        <v>2018</v>
      </c>
      <c r="D197" t="s">
        <v>60</v>
      </c>
      <c r="E197" t="s">
        <v>39</v>
      </c>
      <c r="F197" s="9" t="s">
        <v>5</v>
      </c>
      <c r="J197">
        <v>3613918.111687962</v>
      </c>
      <c r="L197" s="18">
        <v>4</v>
      </c>
      <c r="M197" s="19">
        <v>1.5</v>
      </c>
      <c r="N197" s="40"/>
      <c r="O197" s="40"/>
      <c r="P197" s="40"/>
      <c r="Q197" s="40"/>
      <c r="R197" s="40"/>
      <c r="S197" s="42">
        <v>2409278.741125308</v>
      </c>
      <c r="T197" t="s">
        <v>44</v>
      </c>
      <c r="V197" s="109">
        <v>2405222</v>
      </c>
      <c r="W197" s="102" t="s">
        <v>45</v>
      </c>
      <c r="AA197" s="89"/>
      <c r="AB197" s="89"/>
      <c r="AC197" s="90"/>
      <c r="AD197" s="90"/>
      <c r="AE197" s="91"/>
      <c r="AF197" s="91"/>
    </row>
    <row r="198" spans="1:32" hidden="1" x14ac:dyDescent="0.35">
      <c r="A198" t="s">
        <v>53</v>
      </c>
      <c r="B198" s="77" t="s">
        <v>43</v>
      </c>
      <c r="C198">
        <v>2018</v>
      </c>
      <c r="D198" t="s">
        <v>60</v>
      </c>
      <c r="E198" t="s">
        <v>39</v>
      </c>
      <c r="F198" s="10" t="s">
        <v>6</v>
      </c>
      <c r="J198">
        <v>1909544.074</v>
      </c>
      <c r="L198" s="18">
        <v>4</v>
      </c>
      <c r="M198" s="19">
        <v>1.5</v>
      </c>
      <c r="N198" s="40"/>
      <c r="O198" s="40"/>
      <c r="P198" s="40"/>
      <c r="Q198" s="40"/>
      <c r="R198" s="40"/>
      <c r="S198" s="42">
        <v>2409278.741125308</v>
      </c>
      <c r="T198" t="s">
        <v>44</v>
      </c>
      <c r="V198" s="109">
        <v>2405222</v>
      </c>
      <c r="W198" s="102" t="s">
        <v>45</v>
      </c>
      <c r="AA198" s="89"/>
      <c r="AB198" s="89"/>
      <c r="AC198" s="90"/>
      <c r="AD198" s="90"/>
      <c r="AE198" s="91"/>
      <c r="AF198" s="91"/>
    </row>
    <row r="199" spans="1:32" hidden="1" x14ac:dyDescent="0.35">
      <c r="A199" t="s">
        <v>53</v>
      </c>
      <c r="B199" s="77" t="s">
        <v>43</v>
      </c>
      <c r="C199">
        <v>2018</v>
      </c>
      <c r="D199" t="s">
        <v>60</v>
      </c>
      <c r="E199" t="s">
        <v>39</v>
      </c>
      <c r="F199" s="10" t="s">
        <v>7</v>
      </c>
      <c r="J199">
        <v>749485.30608675187</v>
      </c>
      <c r="L199" s="18">
        <v>4</v>
      </c>
      <c r="M199" s="19">
        <v>1.5</v>
      </c>
      <c r="N199" s="40"/>
      <c r="O199" s="40"/>
      <c r="P199" s="40"/>
      <c r="Q199" s="40"/>
      <c r="R199" s="40"/>
      <c r="S199" s="42">
        <v>2409278.741125308</v>
      </c>
      <c r="T199" t="s">
        <v>44</v>
      </c>
      <c r="V199" s="109">
        <v>2405222</v>
      </c>
      <c r="W199" s="102" t="s">
        <v>45</v>
      </c>
      <c r="AA199" s="89"/>
      <c r="AB199" s="89"/>
      <c r="AC199" s="90"/>
      <c r="AD199" s="90"/>
      <c r="AE199" s="91"/>
      <c r="AF199" s="91"/>
    </row>
    <row r="200" spans="1:32" hidden="1" x14ac:dyDescent="0.35">
      <c r="A200" t="s">
        <v>53</v>
      </c>
      <c r="B200" s="77" t="s">
        <v>43</v>
      </c>
      <c r="C200">
        <v>2018</v>
      </c>
      <c r="D200" t="s">
        <v>60</v>
      </c>
      <c r="E200" t="s">
        <v>39</v>
      </c>
      <c r="F200" s="3" t="s">
        <v>8</v>
      </c>
      <c r="J200">
        <v>203878</v>
      </c>
      <c r="L200" s="18">
        <v>4</v>
      </c>
      <c r="M200" s="19">
        <v>1.5</v>
      </c>
      <c r="N200" s="40"/>
      <c r="O200" s="40"/>
      <c r="P200" s="40"/>
      <c r="Q200" s="40"/>
      <c r="R200" s="40"/>
      <c r="S200" s="42">
        <v>2409278.741125308</v>
      </c>
      <c r="T200" t="s">
        <v>44</v>
      </c>
      <c r="V200" s="109">
        <v>2405222</v>
      </c>
      <c r="W200" s="102" t="s">
        <v>45</v>
      </c>
      <c r="AA200" s="89"/>
      <c r="AB200" s="89"/>
      <c r="AC200" s="90"/>
      <c r="AD200" s="90"/>
      <c r="AE200" s="91"/>
      <c r="AF200" s="91"/>
    </row>
    <row r="201" spans="1:32" hidden="1" x14ac:dyDescent="0.35">
      <c r="A201" t="s">
        <v>53</v>
      </c>
      <c r="B201" s="77" t="s">
        <v>43</v>
      </c>
      <c r="C201">
        <v>2018</v>
      </c>
      <c r="D201" t="s">
        <v>60</v>
      </c>
      <c r="E201" t="s">
        <v>39</v>
      </c>
      <c r="F201" s="3" t="s">
        <v>9</v>
      </c>
      <c r="J201">
        <v>751010.73160121019</v>
      </c>
      <c r="L201" s="18">
        <v>4</v>
      </c>
      <c r="M201" s="19">
        <v>1.5</v>
      </c>
      <c r="N201" s="40"/>
      <c r="O201" s="40"/>
      <c r="P201" s="40"/>
      <c r="Q201" s="40"/>
      <c r="R201" s="40"/>
      <c r="S201" s="42">
        <v>2409278.741125308</v>
      </c>
      <c r="T201" t="s">
        <v>44</v>
      </c>
      <c r="V201" s="109">
        <v>2405222</v>
      </c>
      <c r="W201" s="102" t="s">
        <v>45</v>
      </c>
      <c r="AA201" s="89"/>
      <c r="AB201" s="89"/>
      <c r="AC201" s="90"/>
      <c r="AD201" s="90"/>
      <c r="AE201" s="91"/>
      <c r="AF201" s="91"/>
    </row>
    <row r="202" spans="1:32" hidden="1" x14ac:dyDescent="0.35">
      <c r="A202" t="s">
        <v>53</v>
      </c>
      <c r="B202" s="77" t="s">
        <v>43</v>
      </c>
      <c r="C202">
        <v>2018</v>
      </c>
      <c r="D202" t="s">
        <v>60</v>
      </c>
      <c r="E202" t="s">
        <v>40</v>
      </c>
      <c r="F202" s="9" t="s">
        <v>5</v>
      </c>
      <c r="J202">
        <v>3154628.103305486</v>
      </c>
      <c r="L202" s="18">
        <v>4</v>
      </c>
      <c r="M202" s="19">
        <v>1.5</v>
      </c>
      <c r="N202" s="40"/>
      <c r="O202" s="40"/>
      <c r="P202" s="40"/>
      <c r="Q202" s="40"/>
      <c r="R202" s="40"/>
      <c r="S202" s="42">
        <v>2103085.4022036572</v>
      </c>
      <c r="T202" t="s">
        <v>44</v>
      </c>
      <c r="V202" s="109">
        <v>2335780</v>
      </c>
      <c r="W202" s="102" t="s">
        <v>45</v>
      </c>
      <c r="X202" s="99"/>
      <c r="Y202" s="99"/>
      <c r="Z202" s="24"/>
      <c r="AA202" s="89"/>
      <c r="AB202" s="89"/>
      <c r="AC202" s="90"/>
      <c r="AD202" s="90"/>
      <c r="AE202" s="91"/>
      <c r="AF202" s="91"/>
    </row>
    <row r="203" spans="1:32" hidden="1" x14ac:dyDescent="0.35">
      <c r="A203" t="s">
        <v>53</v>
      </c>
      <c r="B203" s="77" t="s">
        <v>43</v>
      </c>
      <c r="C203">
        <v>2018</v>
      </c>
      <c r="D203" t="s">
        <v>60</v>
      </c>
      <c r="E203" t="s">
        <v>40</v>
      </c>
      <c r="F203" s="10" t="s">
        <v>6</v>
      </c>
      <c r="J203">
        <v>1919482.4156666668</v>
      </c>
      <c r="L203" s="18">
        <v>4</v>
      </c>
      <c r="M203" s="19">
        <v>1.5</v>
      </c>
      <c r="N203" s="40"/>
      <c r="O203" s="40"/>
      <c r="P203" s="40"/>
      <c r="Q203" s="40"/>
      <c r="R203" s="40"/>
      <c r="S203" s="42">
        <v>2103085.4022036572</v>
      </c>
      <c r="T203" t="s">
        <v>44</v>
      </c>
      <c r="V203" s="109">
        <v>2335780</v>
      </c>
      <c r="W203" s="102" t="s">
        <v>45</v>
      </c>
      <c r="AA203" s="89"/>
      <c r="AB203" s="89"/>
      <c r="AC203" s="90"/>
      <c r="AD203" s="90"/>
      <c r="AE203" s="91"/>
      <c r="AF203" s="91"/>
    </row>
    <row r="204" spans="1:32" hidden="1" x14ac:dyDescent="0.35">
      <c r="A204" t="s">
        <v>53</v>
      </c>
      <c r="B204" s="77" t="s">
        <v>43</v>
      </c>
      <c r="C204">
        <v>2018</v>
      </c>
      <c r="D204" t="s">
        <v>60</v>
      </c>
      <c r="E204" t="s">
        <v>40</v>
      </c>
      <c r="F204" s="10" t="s">
        <v>7</v>
      </c>
      <c r="J204">
        <v>555735.17166556406</v>
      </c>
      <c r="L204" s="18">
        <v>4</v>
      </c>
      <c r="M204" s="19">
        <v>1.5</v>
      </c>
      <c r="N204" s="40"/>
      <c r="O204" s="40"/>
      <c r="P204" s="40"/>
      <c r="Q204" s="40"/>
      <c r="R204" s="40"/>
      <c r="S204" s="42">
        <v>2103085.4022036572</v>
      </c>
      <c r="T204" t="s">
        <v>44</v>
      </c>
      <c r="V204" s="109">
        <v>2335780</v>
      </c>
      <c r="W204" s="102" t="s">
        <v>45</v>
      </c>
      <c r="AA204" s="89"/>
      <c r="AB204" s="89"/>
      <c r="AC204" s="90"/>
      <c r="AD204" s="90"/>
      <c r="AE204" s="91"/>
      <c r="AF204" s="91"/>
    </row>
    <row r="205" spans="1:32" hidden="1" x14ac:dyDescent="0.35">
      <c r="A205" t="s">
        <v>53</v>
      </c>
      <c r="B205" s="77" t="s">
        <v>43</v>
      </c>
      <c r="C205">
        <v>2018</v>
      </c>
      <c r="D205" t="s">
        <v>60</v>
      </c>
      <c r="E205" t="s">
        <v>40</v>
      </c>
      <c r="F205" s="3" t="s">
        <v>8</v>
      </c>
      <c r="J205">
        <v>89873.52</v>
      </c>
      <c r="L205" s="18">
        <v>4</v>
      </c>
      <c r="M205" s="19">
        <v>1.5</v>
      </c>
      <c r="N205" s="40"/>
      <c r="O205" s="40"/>
      <c r="P205" s="40"/>
      <c r="Q205" s="40"/>
      <c r="R205" s="40"/>
      <c r="S205" s="42">
        <v>2103085.4022036572</v>
      </c>
      <c r="T205" t="s">
        <v>44</v>
      </c>
      <c r="V205" s="109">
        <v>2335780</v>
      </c>
      <c r="W205" s="102" t="s">
        <v>45</v>
      </c>
      <c r="AA205" s="89"/>
      <c r="AB205" s="89"/>
      <c r="AC205" s="90"/>
      <c r="AD205" s="90"/>
      <c r="AE205" s="91"/>
      <c r="AF205" s="91"/>
    </row>
    <row r="206" spans="1:32" hidden="1" x14ac:dyDescent="0.35">
      <c r="A206" t="s">
        <v>53</v>
      </c>
      <c r="B206" s="77" t="s">
        <v>43</v>
      </c>
      <c r="C206">
        <v>2018</v>
      </c>
      <c r="D206" t="s">
        <v>60</v>
      </c>
      <c r="E206" t="s">
        <v>40</v>
      </c>
      <c r="F206" s="3" t="s">
        <v>9</v>
      </c>
      <c r="J206">
        <v>589536.99597325502</v>
      </c>
      <c r="L206" s="18">
        <v>4</v>
      </c>
      <c r="M206" s="19">
        <v>1.5</v>
      </c>
      <c r="N206" s="40"/>
      <c r="O206" s="40"/>
      <c r="P206" s="40"/>
      <c r="Q206" s="40"/>
      <c r="R206" s="40"/>
      <c r="S206" s="42">
        <v>2103085.4022036572</v>
      </c>
      <c r="T206" t="s">
        <v>44</v>
      </c>
      <c r="V206" s="109">
        <v>2335780</v>
      </c>
      <c r="W206" s="102" t="s">
        <v>45</v>
      </c>
      <c r="AA206" s="89"/>
      <c r="AB206" s="89"/>
      <c r="AC206" s="90"/>
      <c r="AD206" s="90"/>
      <c r="AE206" s="91"/>
      <c r="AF206" s="91"/>
    </row>
    <row r="207" spans="1:32" hidden="1" x14ac:dyDescent="0.35">
      <c r="A207" t="s">
        <v>53</v>
      </c>
      <c r="B207" s="77" t="s">
        <v>43</v>
      </c>
      <c r="C207">
        <v>2018</v>
      </c>
      <c r="D207" t="s">
        <v>60</v>
      </c>
      <c r="E207" t="s">
        <v>41</v>
      </c>
      <c r="F207" s="9" t="s">
        <v>5</v>
      </c>
      <c r="J207">
        <v>5691326.2158391643</v>
      </c>
      <c r="L207" s="18">
        <v>4</v>
      </c>
      <c r="M207" s="19">
        <v>1.5</v>
      </c>
      <c r="N207" s="40"/>
      <c r="O207" s="40"/>
      <c r="P207" s="40"/>
      <c r="Q207" s="40"/>
      <c r="R207" s="40"/>
      <c r="S207" s="42">
        <v>3794217.4772261097</v>
      </c>
      <c r="T207" t="s">
        <v>44</v>
      </c>
      <c r="V207" s="109">
        <v>2271511.5</v>
      </c>
      <c r="W207" s="102" t="s">
        <v>45</v>
      </c>
      <c r="AA207" s="89"/>
      <c r="AB207" s="89"/>
      <c r="AC207" s="90"/>
      <c r="AD207" s="90"/>
      <c r="AE207" s="91"/>
      <c r="AF207" s="91"/>
    </row>
    <row r="208" spans="1:32" hidden="1" x14ac:dyDescent="0.35">
      <c r="A208" t="s">
        <v>53</v>
      </c>
      <c r="B208" s="77" t="s">
        <v>43</v>
      </c>
      <c r="C208">
        <v>2018</v>
      </c>
      <c r="D208" t="s">
        <v>60</v>
      </c>
      <c r="E208" t="s">
        <v>41</v>
      </c>
      <c r="F208" s="10" t="s">
        <v>6</v>
      </c>
      <c r="J208">
        <v>2159692.7725</v>
      </c>
      <c r="L208" s="18">
        <v>4</v>
      </c>
      <c r="M208" s="19">
        <v>1.5</v>
      </c>
      <c r="N208" s="40"/>
      <c r="O208" s="40"/>
      <c r="P208" s="40"/>
      <c r="Q208" s="40"/>
      <c r="R208" s="40"/>
      <c r="S208" s="42">
        <v>3794217.4772261097</v>
      </c>
      <c r="T208" t="s">
        <v>44</v>
      </c>
      <c r="V208" s="109">
        <v>2271511.5</v>
      </c>
      <c r="W208" s="102" t="s">
        <v>45</v>
      </c>
      <c r="AA208" s="89"/>
      <c r="AB208" s="89"/>
      <c r="AC208" s="90"/>
      <c r="AD208" s="90"/>
      <c r="AE208" s="91"/>
      <c r="AF208" s="91"/>
    </row>
    <row r="209" spans="1:32" hidden="1" x14ac:dyDescent="0.35">
      <c r="A209" t="s">
        <v>53</v>
      </c>
      <c r="B209" s="77" t="s">
        <v>43</v>
      </c>
      <c r="C209">
        <v>2018</v>
      </c>
      <c r="D209" t="s">
        <v>60</v>
      </c>
      <c r="E209" t="s">
        <v>41</v>
      </c>
      <c r="F209" s="10" t="s">
        <v>7</v>
      </c>
      <c r="J209">
        <v>784229.09276515024</v>
      </c>
      <c r="L209" s="18">
        <v>4</v>
      </c>
      <c r="M209" s="19">
        <v>1.5</v>
      </c>
      <c r="N209" s="40"/>
      <c r="O209" s="40"/>
      <c r="P209" s="40"/>
      <c r="Q209" s="40"/>
      <c r="R209" s="40"/>
      <c r="S209" s="42">
        <v>3794217.4772261097</v>
      </c>
      <c r="T209" t="s">
        <v>44</v>
      </c>
      <c r="V209" s="109">
        <v>2271511.5</v>
      </c>
      <c r="W209" s="102" t="s">
        <v>45</v>
      </c>
      <c r="AA209" s="89"/>
      <c r="AB209" s="89"/>
      <c r="AC209" s="90"/>
      <c r="AD209" s="90"/>
      <c r="AE209" s="91"/>
      <c r="AF209" s="91"/>
    </row>
    <row r="210" spans="1:32" hidden="1" x14ac:dyDescent="0.35">
      <c r="A210" t="s">
        <v>53</v>
      </c>
      <c r="B210" s="77" t="s">
        <v>43</v>
      </c>
      <c r="C210">
        <v>2018</v>
      </c>
      <c r="D210" t="s">
        <v>60</v>
      </c>
      <c r="E210" t="s">
        <v>41</v>
      </c>
      <c r="F210" s="3" t="s">
        <v>8</v>
      </c>
      <c r="J210">
        <v>398554.55999999994</v>
      </c>
      <c r="L210" s="18">
        <v>4</v>
      </c>
      <c r="M210" s="19">
        <v>1.5</v>
      </c>
      <c r="N210" s="40"/>
      <c r="O210" s="40"/>
      <c r="P210" s="40"/>
      <c r="Q210" s="40"/>
      <c r="R210" s="40"/>
      <c r="S210" s="42">
        <v>3794217.4772261097</v>
      </c>
      <c r="T210" t="s">
        <v>44</v>
      </c>
      <c r="V210" s="109">
        <v>2271511.5</v>
      </c>
      <c r="W210" s="102" t="s">
        <v>45</v>
      </c>
      <c r="AA210" s="89"/>
      <c r="AB210" s="89"/>
      <c r="AC210" s="90"/>
      <c r="AD210" s="90"/>
      <c r="AE210" s="91"/>
      <c r="AF210" s="91"/>
    </row>
    <row r="211" spans="1:32" hidden="1" x14ac:dyDescent="0.35">
      <c r="A211" t="s">
        <v>53</v>
      </c>
      <c r="B211" s="77" t="s">
        <v>43</v>
      </c>
      <c r="C211">
        <v>2018</v>
      </c>
      <c r="D211" t="s">
        <v>60</v>
      </c>
      <c r="E211" t="s">
        <v>41</v>
      </c>
      <c r="F211" s="3" t="s">
        <v>9</v>
      </c>
      <c r="J211">
        <v>2348849.7905740142</v>
      </c>
      <c r="L211" s="18">
        <v>4</v>
      </c>
      <c r="M211" s="19">
        <v>1.5</v>
      </c>
      <c r="N211" s="40"/>
      <c r="O211" s="40"/>
      <c r="P211" s="40"/>
      <c r="Q211" s="40"/>
      <c r="R211" s="40"/>
      <c r="S211" s="42">
        <v>3794217.4772261097</v>
      </c>
      <c r="T211" t="s">
        <v>44</v>
      </c>
      <c r="V211" s="109">
        <v>2271511.5</v>
      </c>
      <c r="W211" s="102" t="s">
        <v>45</v>
      </c>
      <c r="AA211" s="89"/>
      <c r="AB211" s="89"/>
      <c r="AC211" s="90"/>
      <c r="AD211" s="90"/>
      <c r="AE211" s="91"/>
      <c r="AF211" s="91"/>
    </row>
    <row r="212" spans="1:32" hidden="1" x14ac:dyDescent="0.35">
      <c r="A212" t="s">
        <v>53</v>
      </c>
      <c r="B212" s="77" t="s">
        <v>43</v>
      </c>
      <c r="C212">
        <v>2018</v>
      </c>
      <c r="D212" t="s">
        <v>60</v>
      </c>
      <c r="E212" t="s">
        <v>42</v>
      </c>
      <c r="F212" s="9" t="s">
        <v>5</v>
      </c>
      <c r="J212">
        <v>4607350.4285934595</v>
      </c>
      <c r="L212" s="18">
        <v>4</v>
      </c>
      <c r="M212" s="19">
        <v>1.5</v>
      </c>
      <c r="N212" s="40"/>
      <c r="O212" s="40"/>
      <c r="P212" s="40"/>
      <c r="Q212" s="40"/>
      <c r="R212" s="40"/>
      <c r="S212" s="42">
        <v>3071566.9523956398</v>
      </c>
      <c r="T212" t="s">
        <v>44</v>
      </c>
      <c r="V212" s="109">
        <v>2781325</v>
      </c>
      <c r="W212" s="102" t="s">
        <v>45</v>
      </c>
      <c r="AA212" s="89"/>
      <c r="AB212" s="89"/>
      <c r="AC212" s="90"/>
      <c r="AD212" s="90"/>
      <c r="AE212" s="91"/>
      <c r="AF212" s="91"/>
    </row>
    <row r="213" spans="1:32" hidden="1" x14ac:dyDescent="0.35">
      <c r="A213" t="s">
        <v>53</v>
      </c>
      <c r="B213" s="77" t="s">
        <v>43</v>
      </c>
      <c r="C213">
        <v>2018</v>
      </c>
      <c r="D213" t="s">
        <v>60</v>
      </c>
      <c r="E213" t="s">
        <v>42</v>
      </c>
      <c r="F213" s="10" t="s">
        <v>6</v>
      </c>
      <c r="J213">
        <v>2083017.5266666661</v>
      </c>
      <c r="L213" s="18">
        <v>4</v>
      </c>
      <c r="M213" s="19">
        <v>1.5</v>
      </c>
      <c r="N213" s="40"/>
      <c r="O213" s="40"/>
      <c r="P213" s="40"/>
      <c r="Q213" s="40"/>
      <c r="R213" s="40"/>
      <c r="S213" s="42">
        <v>3071566.9523956398</v>
      </c>
      <c r="T213" t="s">
        <v>44</v>
      </c>
      <c r="V213" s="109">
        <v>2781325</v>
      </c>
      <c r="W213" s="102" t="s">
        <v>45</v>
      </c>
      <c r="AA213" s="89"/>
      <c r="AB213" s="89"/>
      <c r="AC213" s="90"/>
      <c r="AD213" s="90"/>
      <c r="AE213" s="91"/>
      <c r="AF213" s="91"/>
    </row>
    <row r="214" spans="1:32" hidden="1" x14ac:dyDescent="0.35">
      <c r="A214" t="s">
        <v>53</v>
      </c>
      <c r="B214" s="77" t="s">
        <v>43</v>
      </c>
      <c r="C214">
        <v>2018</v>
      </c>
      <c r="D214" t="s">
        <v>60</v>
      </c>
      <c r="E214" t="s">
        <v>42</v>
      </c>
      <c r="F214" s="10" t="s">
        <v>7</v>
      </c>
      <c r="J214">
        <v>1310220.7223336871</v>
      </c>
      <c r="L214" s="18">
        <v>4</v>
      </c>
      <c r="M214" s="19">
        <v>1.5</v>
      </c>
      <c r="N214" s="40"/>
      <c r="O214" s="40"/>
      <c r="P214" s="40"/>
      <c r="Q214" s="40"/>
      <c r="R214" s="40"/>
      <c r="S214" s="42">
        <v>3071566.9523956398</v>
      </c>
      <c r="T214" t="s">
        <v>44</v>
      </c>
      <c r="V214" s="109">
        <v>2781325</v>
      </c>
      <c r="W214" s="102" t="s">
        <v>45</v>
      </c>
      <c r="AA214" s="89"/>
      <c r="AB214" s="89"/>
      <c r="AC214" s="90"/>
      <c r="AD214" s="90"/>
      <c r="AE214" s="91"/>
      <c r="AF214" s="91"/>
    </row>
    <row r="215" spans="1:32" hidden="1" x14ac:dyDescent="0.35">
      <c r="A215" t="s">
        <v>53</v>
      </c>
      <c r="B215" s="77" t="s">
        <v>43</v>
      </c>
      <c r="C215">
        <v>2018</v>
      </c>
      <c r="D215" t="s">
        <v>60</v>
      </c>
      <c r="E215" t="s">
        <v>42</v>
      </c>
      <c r="F215" s="3" t="s">
        <v>8</v>
      </c>
      <c r="J215">
        <v>193901.96</v>
      </c>
      <c r="L215" s="18">
        <v>4</v>
      </c>
      <c r="M215" s="19">
        <v>1.5</v>
      </c>
      <c r="N215" s="40"/>
      <c r="O215" s="40"/>
      <c r="P215" s="40"/>
      <c r="Q215" s="40"/>
      <c r="R215" s="40"/>
      <c r="S215" s="42">
        <v>3071566.9523956398</v>
      </c>
      <c r="T215" t="s">
        <v>44</v>
      </c>
      <c r="V215" s="109">
        <v>2781325</v>
      </c>
      <c r="W215" s="102" t="s">
        <v>45</v>
      </c>
      <c r="AA215" s="89"/>
      <c r="AB215" s="89"/>
      <c r="AC215" s="90"/>
      <c r="AD215" s="90"/>
      <c r="AE215" s="91"/>
      <c r="AF215" s="91"/>
    </row>
    <row r="216" spans="1:32" hidden="1" x14ac:dyDescent="0.35">
      <c r="A216" t="s">
        <v>53</v>
      </c>
      <c r="B216" s="77" t="s">
        <v>43</v>
      </c>
      <c r="C216">
        <v>2018</v>
      </c>
      <c r="D216" t="s">
        <v>60</v>
      </c>
      <c r="E216" t="s">
        <v>42</v>
      </c>
      <c r="F216" s="3" t="s">
        <v>9</v>
      </c>
      <c r="J216">
        <v>1020210.2195931061</v>
      </c>
      <c r="L216" s="18">
        <v>4</v>
      </c>
      <c r="M216" s="19">
        <v>1.5</v>
      </c>
      <c r="N216" s="40"/>
      <c r="O216" s="40"/>
      <c r="P216" s="40"/>
      <c r="Q216" s="40"/>
      <c r="R216" s="40"/>
      <c r="S216" s="42">
        <v>3071566.9523956398</v>
      </c>
      <c r="T216" t="s">
        <v>44</v>
      </c>
      <c r="V216" s="109">
        <v>2781325</v>
      </c>
      <c r="W216" s="102" t="s">
        <v>45</v>
      </c>
      <c r="AA216" s="89"/>
      <c r="AB216" s="89"/>
      <c r="AC216" s="90"/>
      <c r="AD216" s="90"/>
      <c r="AE216" s="91"/>
      <c r="AF216" s="91"/>
    </row>
    <row r="217" spans="1:32" s="47" customFormat="1" hidden="1" x14ac:dyDescent="0.35">
      <c r="A217" s="47" t="s">
        <v>54</v>
      </c>
      <c r="B217" s="47" t="s">
        <v>49</v>
      </c>
      <c r="C217" s="47">
        <v>2015</v>
      </c>
      <c r="D217" s="47" t="s">
        <v>60</v>
      </c>
      <c r="E217" s="47" t="s">
        <v>21</v>
      </c>
      <c r="F217" s="56" t="s">
        <v>5</v>
      </c>
      <c r="G217" s="57">
        <v>68356.800000000003</v>
      </c>
      <c r="H217" s="57">
        <v>125656.76</v>
      </c>
      <c r="I217" s="57">
        <v>176482.49</v>
      </c>
      <c r="J217" s="57">
        <v>226481.29</v>
      </c>
      <c r="K217" s="57">
        <v>277209.25</v>
      </c>
      <c r="L217" s="50">
        <v>5</v>
      </c>
      <c r="M217" s="51">
        <v>1.5</v>
      </c>
      <c r="N217" s="52">
        <v>68356.800000000003</v>
      </c>
      <c r="O217" s="52">
        <v>83771.173333333325</v>
      </c>
      <c r="P217" s="52">
        <v>117654.99333333333</v>
      </c>
      <c r="Q217" s="52">
        <v>150987.52666666667</v>
      </c>
      <c r="R217" s="52">
        <v>184806.16666666666</v>
      </c>
      <c r="S217" s="57">
        <v>184806.16666666666</v>
      </c>
      <c r="T217" s="47" t="s">
        <v>50</v>
      </c>
      <c r="V217" s="108">
        <v>93600</v>
      </c>
      <c r="W217" s="47" t="s">
        <v>151</v>
      </c>
      <c r="X217" s="53">
        <v>91250</v>
      </c>
      <c r="Y217" s="53">
        <v>116877.588</v>
      </c>
      <c r="AA217" s="86">
        <v>5.907</v>
      </c>
      <c r="AB217" s="86">
        <v>9.4499999999999993</v>
      </c>
      <c r="AC217" s="87">
        <v>82.227999999999994</v>
      </c>
      <c r="AD217" s="87">
        <v>0.76600000000000001</v>
      </c>
      <c r="AE217" s="88">
        <v>33.680310489999997</v>
      </c>
      <c r="AF217" s="88">
        <v>50.853000000000002</v>
      </c>
    </row>
    <row r="218" spans="1:32" hidden="1" x14ac:dyDescent="0.35">
      <c r="A218" s="23" t="s">
        <v>54</v>
      </c>
      <c r="B218" t="s">
        <v>49</v>
      </c>
      <c r="C218">
        <v>2015</v>
      </c>
      <c r="D218" t="s">
        <v>60</v>
      </c>
      <c r="E218" t="s">
        <v>21</v>
      </c>
      <c r="F218" s="10" t="s">
        <v>6</v>
      </c>
      <c r="G218" s="5">
        <v>26151.17</v>
      </c>
      <c r="H218" s="5">
        <v>53942.95</v>
      </c>
      <c r="I218" s="5">
        <v>78403.490000000005</v>
      </c>
      <c r="J218" s="5">
        <v>102538.64</v>
      </c>
      <c r="K218" s="5">
        <v>126888.65</v>
      </c>
      <c r="L218" s="18">
        <v>5</v>
      </c>
      <c r="M218" s="19">
        <v>1.5</v>
      </c>
      <c r="N218" s="43">
        <v>68356.800000000003</v>
      </c>
      <c r="O218" s="43">
        <v>83771.173333333325</v>
      </c>
      <c r="P218" s="43">
        <v>117654.99333333333</v>
      </c>
      <c r="Q218" s="43">
        <v>150987.52666666667</v>
      </c>
      <c r="R218" s="43">
        <v>184806.16666666666</v>
      </c>
      <c r="S218" s="42">
        <v>184806.16666666666</v>
      </c>
      <c r="T218" t="s">
        <v>50</v>
      </c>
      <c r="V218" s="109">
        <v>93600</v>
      </c>
      <c r="W218" t="s">
        <v>151</v>
      </c>
      <c r="X218" s="94">
        <v>91250</v>
      </c>
      <c r="Y218" s="94">
        <v>116877.588</v>
      </c>
      <c r="AA218" s="89">
        <v>5.907</v>
      </c>
      <c r="AB218" s="89">
        <v>9.4499999999999993</v>
      </c>
      <c r="AC218" s="90">
        <v>82.227999999999994</v>
      </c>
      <c r="AD218" s="90">
        <v>0.76600000000000001</v>
      </c>
      <c r="AE218" s="91">
        <v>33.680310489999997</v>
      </c>
      <c r="AF218" s="91">
        <v>50.853000000000002</v>
      </c>
    </row>
    <row r="219" spans="1:32" hidden="1" x14ac:dyDescent="0.35">
      <c r="A219" s="23" t="s">
        <v>54</v>
      </c>
      <c r="B219" t="s">
        <v>49</v>
      </c>
      <c r="C219">
        <v>2015</v>
      </c>
      <c r="D219" t="s">
        <v>60</v>
      </c>
      <c r="E219" t="s">
        <v>21</v>
      </c>
      <c r="F219" s="10" t="s">
        <v>7</v>
      </c>
      <c r="G219" s="5">
        <v>28442.71</v>
      </c>
      <c r="H219" s="5">
        <v>47561.75</v>
      </c>
      <c r="I219" s="5">
        <v>64372.91</v>
      </c>
      <c r="J219" s="5">
        <v>80815.78</v>
      </c>
      <c r="K219" s="5">
        <v>97636.32</v>
      </c>
      <c r="L219" s="18">
        <v>5</v>
      </c>
      <c r="M219" s="19">
        <v>1.5</v>
      </c>
      <c r="N219" s="43">
        <v>68356.800000000003</v>
      </c>
      <c r="O219" s="43">
        <v>83771.173333333325</v>
      </c>
      <c r="P219" s="43">
        <v>117654.99333333333</v>
      </c>
      <c r="Q219" s="43">
        <v>150987.52666666667</v>
      </c>
      <c r="R219" s="43">
        <v>184806.16666666666</v>
      </c>
      <c r="S219" s="42">
        <v>184806.16666666666</v>
      </c>
      <c r="T219" t="s">
        <v>50</v>
      </c>
      <c r="V219" s="109">
        <v>93600</v>
      </c>
      <c r="W219" t="s">
        <v>151</v>
      </c>
      <c r="X219" s="94">
        <v>91250</v>
      </c>
      <c r="Y219" s="94">
        <v>116877.588</v>
      </c>
      <c r="AA219" s="89">
        <v>5.907</v>
      </c>
      <c r="AB219" s="89">
        <v>9.4499999999999993</v>
      </c>
      <c r="AC219" s="90">
        <v>82.227999999999994</v>
      </c>
      <c r="AD219" s="90">
        <v>0.76600000000000001</v>
      </c>
      <c r="AE219" s="91">
        <v>33.680310489999997</v>
      </c>
      <c r="AF219" s="91">
        <v>50.853000000000002</v>
      </c>
    </row>
    <row r="220" spans="1:32" hidden="1" x14ac:dyDescent="0.35">
      <c r="A220" s="23" t="s">
        <v>54</v>
      </c>
      <c r="B220" t="s">
        <v>49</v>
      </c>
      <c r="C220">
        <v>2015</v>
      </c>
      <c r="D220" t="s">
        <v>60</v>
      </c>
      <c r="E220" t="s">
        <v>21</v>
      </c>
      <c r="F220" s="3" t="s">
        <v>8</v>
      </c>
      <c r="G220" s="5">
        <v>3470.91</v>
      </c>
      <c r="H220" s="5">
        <v>6941.83</v>
      </c>
      <c r="I220" s="5">
        <v>10412.74</v>
      </c>
      <c r="J220" s="5">
        <v>13883.66</v>
      </c>
      <c r="K220" s="5">
        <v>17354.57</v>
      </c>
      <c r="L220" s="18">
        <v>5</v>
      </c>
      <c r="M220" s="19">
        <v>1.5</v>
      </c>
      <c r="N220" s="43">
        <v>68356.800000000003</v>
      </c>
      <c r="O220" s="43">
        <v>83771.173333333325</v>
      </c>
      <c r="P220" s="43">
        <v>117654.99333333333</v>
      </c>
      <c r="Q220" s="43">
        <v>150987.52666666667</v>
      </c>
      <c r="R220" s="43">
        <v>184806.16666666666</v>
      </c>
      <c r="S220" s="42">
        <v>184806.16666666666</v>
      </c>
      <c r="T220" t="s">
        <v>50</v>
      </c>
      <c r="V220" s="109">
        <v>93600</v>
      </c>
      <c r="W220" t="s">
        <v>151</v>
      </c>
      <c r="X220" s="94">
        <v>91250</v>
      </c>
      <c r="Y220" s="94">
        <v>116877.588</v>
      </c>
      <c r="AA220" s="89">
        <v>5.907</v>
      </c>
      <c r="AB220" s="89">
        <v>9.4499999999999993</v>
      </c>
      <c r="AC220" s="90">
        <v>82.227999999999994</v>
      </c>
      <c r="AD220" s="90">
        <v>0.76600000000000001</v>
      </c>
      <c r="AE220" s="91">
        <v>33.680310489999997</v>
      </c>
      <c r="AF220" s="91">
        <v>50.853000000000002</v>
      </c>
    </row>
    <row r="221" spans="1:32" hidden="1" x14ac:dyDescent="0.35">
      <c r="A221" s="23" t="s">
        <v>54</v>
      </c>
      <c r="B221" t="s">
        <v>49</v>
      </c>
      <c r="C221">
        <v>2015</v>
      </c>
      <c r="D221" t="s">
        <v>60</v>
      </c>
      <c r="E221" t="s">
        <v>21</v>
      </c>
      <c r="F221" s="3" t="s">
        <v>9</v>
      </c>
      <c r="G221" s="5">
        <v>10292</v>
      </c>
      <c r="H221" s="5">
        <v>17210.23</v>
      </c>
      <c r="I221" s="5">
        <v>23293.35</v>
      </c>
      <c r="J221" s="5">
        <v>29243.200000000001</v>
      </c>
      <c r="K221" s="5">
        <v>35329.72</v>
      </c>
      <c r="L221" s="18">
        <v>5</v>
      </c>
      <c r="M221" s="19">
        <v>1.5</v>
      </c>
      <c r="N221" s="43">
        <v>68356.800000000003</v>
      </c>
      <c r="O221" s="43">
        <v>83771.173333333325</v>
      </c>
      <c r="P221" s="43">
        <v>117654.99333333333</v>
      </c>
      <c r="Q221" s="43">
        <v>150987.52666666667</v>
      </c>
      <c r="R221" s="43">
        <v>184806.16666666666</v>
      </c>
      <c r="S221" s="42">
        <v>184806.16666666666</v>
      </c>
      <c r="T221" t="s">
        <v>50</v>
      </c>
      <c r="V221" s="109">
        <v>93600</v>
      </c>
      <c r="W221" t="s">
        <v>151</v>
      </c>
      <c r="X221" s="94">
        <v>91250</v>
      </c>
      <c r="Y221" s="94">
        <v>116877.588</v>
      </c>
      <c r="AA221" s="89">
        <v>5.907</v>
      </c>
      <c r="AB221" s="89">
        <v>9.4499999999999993</v>
      </c>
      <c r="AC221" s="90">
        <v>82.227999999999994</v>
      </c>
      <c r="AD221" s="90">
        <v>0.76600000000000001</v>
      </c>
      <c r="AE221" s="91">
        <v>33.680310489999997</v>
      </c>
      <c r="AF221" s="91">
        <v>50.853000000000002</v>
      </c>
    </row>
    <row r="222" spans="1:32" s="46" customFormat="1" hidden="1" x14ac:dyDescent="0.35">
      <c r="A222" s="68" t="s">
        <v>54</v>
      </c>
      <c r="B222" s="46" t="s">
        <v>49</v>
      </c>
      <c r="C222" s="46">
        <v>2016</v>
      </c>
      <c r="D222" s="46" t="s">
        <v>135</v>
      </c>
      <c r="E222" s="46" t="s">
        <v>21</v>
      </c>
      <c r="F222" s="69" t="s">
        <v>5</v>
      </c>
      <c r="G222" s="72">
        <v>73005.06240000001</v>
      </c>
      <c r="H222" s="72">
        <v>134201.41967999999</v>
      </c>
      <c r="I222" s="72">
        <v>134201.41967999999</v>
      </c>
      <c r="J222" s="72">
        <v>241882.01772000003</v>
      </c>
      <c r="K222" s="72">
        <v>296059.47899999999</v>
      </c>
      <c r="L222" s="64">
        <v>5</v>
      </c>
      <c r="M222" s="65">
        <v>1.5</v>
      </c>
      <c r="N222" s="66">
        <v>73005.06240000001</v>
      </c>
      <c r="O222" s="66">
        <v>89467.613119999995</v>
      </c>
      <c r="P222" s="66">
        <v>89467.613119999995</v>
      </c>
      <c r="Q222" s="66">
        <v>161254.67848000003</v>
      </c>
      <c r="R222" s="66">
        <v>197372.986</v>
      </c>
      <c r="S222" s="73">
        <v>197372.986</v>
      </c>
      <c r="T222" s="46" t="s">
        <v>50</v>
      </c>
      <c r="V222" s="109">
        <v>93600</v>
      </c>
      <c r="W222" t="s">
        <v>151</v>
      </c>
      <c r="X222" s="95" t="s">
        <v>147</v>
      </c>
      <c r="Y222" s="95" t="s">
        <v>147</v>
      </c>
      <c r="AA222" s="89">
        <v>7.12</v>
      </c>
      <c r="AB222" s="89">
        <v>6.93</v>
      </c>
      <c r="AC222" s="90" t="s">
        <v>147</v>
      </c>
      <c r="AD222" s="90" t="s">
        <v>147</v>
      </c>
      <c r="AE222" s="91">
        <v>33.913599679999997</v>
      </c>
      <c r="AF222" s="91">
        <v>50.948999999999998</v>
      </c>
    </row>
    <row r="223" spans="1:32" s="46" customFormat="1" hidden="1" x14ac:dyDescent="0.35">
      <c r="A223" s="68" t="s">
        <v>54</v>
      </c>
      <c r="B223" s="46" t="s">
        <v>49</v>
      </c>
      <c r="C223" s="46">
        <v>2017</v>
      </c>
      <c r="D223" s="46" t="s">
        <v>135</v>
      </c>
      <c r="E223" s="46" t="s">
        <v>21</v>
      </c>
      <c r="F223" s="69" t="s">
        <v>5</v>
      </c>
      <c r="G223" s="72">
        <v>75925.264896000008</v>
      </c>
      <c r="H223" s="72">
        <v>139569.4764672</v>
      </c>
      <c r="I223" s="72">
        <v>139569.4764672</v>
      </c>
      <c r="J223" s="72">
        <v>251557.29842880004</v>
      </c>
      <c r="K223" s="72">
        <v>307901.85816</v>
      </c>
      <c r="L223" s="64">
        <v>5</v>
      </c>
      <c r="M223" s="65">
        <v>1.5</v>
      </c>
      <c r="N223" s="66">
        <v>75925.264896000008</v>
      </c>
      <c r="O223" s="66">
        <v>93046.317644800001</v>
      </c>
      <c r="P223" s="66">
        <v>93046.317644800001</v>
      </c>
      <c r="Q223" s="66">
        <v>167704.86561920002</v>
      </c>
      <c r="R223" s="66">
        <v>205267.90544</v>
      </c>
      <c r="S223" s="73">
        <v>205267.90544</v>
      </c>
      <c r="T223" s="46" t="s">
        <v>50</v>
      </c>
      <c r="V223" s="114">
        <v>93600</v>
      </c>
      <c r="W223" t="s">
        <v>151</v>
      </c>
      <c r="X223" s="95">
        <v>150000</v>
      </c>
      <c r="Y223" s="95">
        <v>173499.77299999999</v>
      </c>
      <c r="AA223" s="89">
        <v>7.5119999999999996</v>
      </c>
      <c r="AB223" s="89">
        <v>4.57</v>
      </c>
      <c r="AC223" s="90">
        <v>79.512</v>
      </c>
      <c r="AD223" s="90">
        <v>1.3560000000000001</v>
      </c>
      <c r="AE223" s="91">
        <v>34.129248449999999</v>
      </c>
      <c r="AF223" s="91">
        <v>50.927999999999997</v>
      </c>
    </row>
    <row r="224" spans="1:32" s="46" customFormat="1" hidden="1" x14ac:dyDescent="0.35">
      <c r="A224" s="68" t="s">
        <v>54</v>
      </c>
      <c r="B224" s="46" t="s">
        <v>49</v>
      </c>
      <c r="C224" s="46">
        <v>2018</v>
      </c>
      <c r="D224" s="46" t="s">
        <v>135</v>
      </c>
      <c r="E224" s="46" t="s">
        <v>21</v>
      </c>
      <c r="F224" s="69" t="s">
        <v>5</v>
      </c>
      <c r="G224" s="72">
        <v>81467.809233407999</v>
      </c>
      <c r="H224" s="72">
        <v>149758.0482493056</v>
      </c>
      <c r="I224" s="72">
        <v>149758.0482493056</v>
      </c>
      <c r="J224" s="72">
        <v>269920.98121410242</v>
      </c>
      <c r="K224" s="72">
        <v>330378.69380567997</v>
      </c>
      <c r="L224" s="64">
        <v>5</v>
      </c>
      <c r="M224" s="65">
        <v>1.5</v>
      </c>
      <c r="N224" s="66">
        <v>81467.809233407999</v>
      </c>
      <c r="O224" s="66">
        <v>99838.698832870403</v>
      </c>
      <c r="P224" s="66">
        <v>99838.698832870403</v>
      </c>
      <c r="Q224" s="66">
        <v>179947.3208094016</v>
      </c>
      <c r="R224" s="66">
        <v>220252.46253711998</v>
      </c>
      <c r="S224" s="73">
        <v>220252.46253711998</v>
      </c>
      <c r="T224" s="46" t="s">
        <v>50</v>
      </c>
      <c r="V224" s="114">
        <v>124800</v>
      </c>
      <c r="W224" t="s">
        <v>152</v>
      </c>
      <c r="X224" s="95">
        <v>180000</v>
      </c>
      <c r="Y224" s="95">
        <v>192257.84</v>
      </c>
      <c r="AA224" s="89">
        <v>3.91</v>
      </c>
      <c r="AB224" s="89">
        <v>6.87</v>
      </c>
      <c r="AC224" s="90">
        <v>79.677000000000007</v>
      </c>
      <c r="AD224" s="90">
        <v>0.76700000000000002</v>
      </c>
      <c r="AE224" s="91">
        <v>33.896946659999998</v>
      </c>
      <c r="AF224" s="91">
        <v>50.283999999999999</v>
      </c>
    </row>
    <row r="225" spans="1:32" s="46" customFormat="1" hidden="1" x14ac:dyDescent="0.35">
      <c r="A225" s="68" t="s">
        <v>54</v>
      </c>
      <c r="B225" s="46" t="s">
        <v>49</v>
      </c>
      <c r="C225" s="46">
        <v>2019</v>
      </c>
      <c r="D225" s="46" t="s">
        <v>135</v>
      </c>
      <c r="E225" s="46" t="s">
        <v>21</v>
      </c>
      <c r="F225" s="69" t="s">
        <v>5</v>
      </c>
      <c r="G225" s="72">
        <v>88881.379873648126</v>
      </c>
      <c r="H225" s="72">
        <v>163386.03063999242</v>
      </c>
      <c r="I225" s="72">
        <v>163386.03063999242</v>
      </c>
      <c r="J225" s="72">
        <v>294483.79050458572</v>
      </c>
      <c r="K225" s="72">
        <v>360443.15494199685</v>
      </c>
      <c r="L225" s="64">
        <v>5</v>
      </c>
      <c r="M225" s="65">
        <v>1.5</v>
      </c>
      <c r="N225" s="66">
        <v>88881.379873648126</v>
      </c>
      <c r="O225" s="66">
        <v>108924.02042666161</v>
      </c>
      <c r="P225" s="66">
        <v>108924.02042666161</v>
      </c>
      <c r="Q225" s="66">
        <v>196322.52700305716</v>
      </c>
      <c r="R225" s="66">
        <v>240295.4366279979</v>
      </c>
      <c r="S225" s="73">
        <v>240295.4366279979</v>
      </c>
      <c r="T225" s="46" t="s">
        <v>50</v>
      </c>
      <c r="V225" s="114">
        <v>124800</v>
      </c>
      <c r="W225" t="s">
        <v>152</v>
      </c>
      <c r="X225" s="95">
        <v>200000</v>
      </c>
      <c r="Y225" s="95">
        <v>208855.024</v>
      </c>
      <c r="AA225" s="89">
        <v>8.3249999999999993</v>
      </c>
      <c r="AB225" s="89">
        <v>8.83</v>
      </c>
      <c r="AC225" s="90">
        <v>80.105999999999995</v>
      </c>
      <c r="AD225" s="90">
        <v>0.40699999999999997</v>
      </c>
      <c r="AE225" s="91">
        <v>34.460029710000001</v>
      </c>
      <c r="AF225" s="91">
        <v>51.341000000000001</v>
      </c>
    </row>
    <row r="226" spans="1:32" s="46" customFormat="1" hidden="1" x14ac:dyDescent="0.35">
      <c r="A226" s="68" t="s">
        <v>54</v>
      </c>
      <c r="B226" s="46" t="s">
        <v>49</v>
      </c>
      <c r="C226" s="46">
        <v>2020</v>
      </c>
      <c r="D226" s="46" t="s">
        <v>135</v>
      </c>
      <c r="E226" s="46" t="s">
        <v>21</v>
      </c>
      <c r="F226" s="69" t="s">
        <v>5</v>
      </c>
      <c r="G226" s="72">
        <v>90836.77023086838</v>
      </c>
      <c r="H226" s="72">
        <v>166980.52331407226</v>
      </c>
      <c r="I226" s="72">
        <v>166980.52331407226</v>
      </c>
      <c r="J226" s="72">
        <v>300962.43389568658</v>
      </c>
      <c r="K226" s="72">
        <v>368372.90435072081</v>
      </c>
      <c r="L226" s="64">
        <v>5</v>
      </c>
      <c r="M226" s="65">
        <v>1.5</v>
      </c>
      <c r="N226" s="66">
        <v>90836.77023086838</v>
      </c>
      <c r="O226" s="66">
        <v>111320.34887604817</v>
      </c>
      <c r="P226" s="66">
        <v>111320.34887604817</v>
      </c>
      <c r="Q226" s="66">
        <v>200641.6225971244</v>
      </c>
      <c r="R226" s="66">
        <v>245581.93623381387</v>
      </c>
      <c r="S226" s="73">
        <v>245581.93623381387</v>
      </c>
      <c r="T226" s="46" t="s">
        <v>50</v>
      </c>
      <c r="V226" s="114">
        <v>124800</v>
      </c>
      <c r="W226" t="s">
        <v>152</v>
      </c>
      <c r="X226" s="95">
        <v>180000</v>
      </c>
      <c r="Y226" s="95">
        <v>187872.51800000001</v>
      </c>
      <c r="AA226" s="89">
        <v>-8.4450000000000003</v>
      </c>
      <c r="AB226" s="91" t="s">
        <v>147</v>
      </c>
      <c r="AC226" s="90">
        <v>80.709999999999994</v>
      </c>
      <c r="AD226" s="90">
        <v>1.476</v>
      </c>
      <c r="AE226" s="91">
        <v>34.27603723</v>
      </c>
      <c r="AF226" s="91">
        <v>51.097000000000001</v>
      </c>
    </row>
    <row r="227" spans="1:32" s="46" customFormat="1" hidden="1" x14ac:dyDescent="0.35">
      <c r="A227" s="68" t="s">
        <v>54</v>
      </c>
      <c r="B227" s="46" t="s">
        <v>49</v>
      </c>
      <c r="C227" s="46">
        <v>2021</v>
      </c>
      <c r="D227" s="46" t="s">
        <v>135</v>
      </c>
      <c r="E227" s="46" t="s">
        <v>21</v>
      </c>
      <c r="F227" s="69" t="s">
        <v>5</v>
      </c>
      <c r="G227" s="72">
        <v>99557.100173031751</v>
      </c>
      <c r="H227" s="72">
        <v>183010.6535522232</v>
      </c>
      <c r="I227" s="72">
        <v>183010.6535522232</v>
      </c>
      <c r="J227" s="72">
        <v>329854.82754967251</v>
      </c>
      <c r="K227" s="72">
        <v>403736.70316839003</v>
      </c>
      <c r="L227" s="64">
        <v>5</v>
      </c>
      <c r="M227" s="65">
        <v>1.5</v>
      </c>
      <c r="N227" s="66">
        <v>99557.100173031751</v>
      </c>
      <c r="O227" s="66">
        <v>122007.1023681488</v>
      </c>
      <c r="P227" s="66">
        <v>122007.1023681488</v>
      </c>
      <c r="Q227" s="66">
        <v>219903.21836644833</v>
      </c>
      <c r="R227" s="66">
        <v>269157.80211226002</v>
      </c>
      <c r="S227" s="73">
        <v>269157.80211226002</v>
      </c>
      <c r="T227" s="46" t="s">
        <v>50</v>
      </c>
      <c r="V227" s="114">
        <v>124800</v>
      </c>
      <c r="W227" t="s">
        <v>152</v>
      </c>
      <c r="X227" s="95" t="s">
        <v>147</v>
      </c>
      <c r="Y227" s="95" t="s">
        <v>147</v>
      </c>
      <c r="AA227" s="89">
        <v>-2.1739999999999999</v>
      </c>
      <c r="AB227" s="91" t="s">
        <v>147</v>
      </c>
      <c r="AC227" s="90" t="s">
        <v>147</v>
      </c>
      <c r="AD227" s="90" t="s">
        <v>147</v>
      </c>
      <c r="AE227" s="91">
        <v>34.782476150000001</v>
      </c>
      <c r="AF227" s="91">
        <v>49.715000000000003</v>
      </c>
    </row>
    <row r="228" spans="1:32" s="46" customFormat="1" hidden="1" x14ac:dyDescent="0.35">
      <c r="A228" s="68" t="s">
        <v>54</v>
      </c>
      <c r="B228" s="46" t="s">
        <v>49</v>
      </c>
      <c r="C228" s="46">
        <v>2022</v>
      </c>
      <c r="D228" s="46" t="s">
        <v>135</v>
      </c>
      <c r="E228" s="46" t="s">
        <v>21</v>
      </c>
      <c r="F228" s="69" t="s">
        <v>5</v>
      </c>
      <c r="G228" s="72">
        <v>127433.08822148065</v>
      </c>
      <c r="H228" s="72">
        <v>234253.63654684569</v>
      </c>
      <c r="I228" s="72">
        <v>234253.63654684569</v>
      </c>
      <c r="J228" s="72">
        <v>422214.17926358082</v>
      </c>
      <c r="K228" s="72">
        <v>516782.98005553923</v>
      </c>
      <c r="L228" s="64">
        <v>5</v>
      </c>
      <c r="M228" s="65">
        <v>1.5</v>
      </c>
      <c r="N228" s="66">
        <v>127433.08822148065</v>
      </c>
      <c r="O228" s="66">
        <v>156169.09103123046</v>
      </c>
      <c r="P228" s="66">
        <v>156169.09103123046</v>
      </c>
      <c r="Q228" s="66">
        <v>281476.11950905388</v>
      </c>
      <c r="R228" s="66">
        <v>344521.98670369282</v>
      </c>
      <c r="S228" s="73">
        <v>344521.98670369282</v>
      </c>
      <c r="T228" s="46" t="s">
        <v>50</v>
      </c>
      <c r="V228" s="114">
        <v>124800</v>
      </c>
      <c r="W228" t="s">
        <v>152</v>
      </c>
      <c r="X228" s="95" t="s">
        <v>147</v>
      </c>
      <c r="Y228" s="95" t="s">
        <v>147</v>
      </c>
      <c r="AA228" s="89">
        <v>1.6080000000000001</v>
      </c>
      <c r="AB228" s="91" t="s">
        <v>147</v>
      </c>
      <c r="AC228" s="90" t="s">
        <v>147</v>
      </c>
      <c r="AD228" s="90" t="s">
        <v>147</v>
      </c>
      <c r="AE228" s="91">
        <v>34.679945760000003</v>
      </c>
      <c r="AF228" s="91">
        <v>48.036999999999999</v>
      </c>
    </row>
    <row r="229" spans="1:32" s="46" customFormat="1" hidden="1" x14ac:dyDescent="0.35">
      <c r="A229" s="68" t="s">
        <v>54</v>
      </c>
      <c r="B229" s="46" t="s">
        <v>49</v>
      </c>
      <c r="C229" s="46">
        <v>2023</v>
      </c>
      <c r="D229" s="46" t="s">
        <v>135</v>
      </c>
      <c r="E229" s="46" t="s">
        <v>21</v>
      </c>
      <c r="F229" s="69" t="s">
        <v>5</v>
      </c>
      <c r="G229" s="72">
        <v>159928.5257179582</v>
      </c>
      <c r="H229" s="72">
        <v>293988.31386629131</v>
      </c>
      <c r="I229" s="72">
        <v>293988.31386629131</v>
      </c>
      <c r="J229" s="72">
        <v>529878.79497579392</v>
      </c>
      <c r="K229" s="72">
        <v>648562.63996970165</v>
      </c>
      <c r="L229" s="64">
        <v>5</v>
      </c>
      <c r="M229" s="65">
        <v>1.5</v>
      </c>
      <c r="N229" s="66">
        <v>159928.5257179582</v>
      </c>
      <c r="O229" s="66">
        <v>195992.20924419421</v>
      </c>
      <c r="P229" s="66">
        <v>195992.20924419421</v>
      </c>
      <c r="Q229" s="66">
        <v>353252.52998386259</v>
      </c>
      <c r="R229" s="66">
        <v>432375.09331313445</v>
      </c>
      <c r="S229" s="73">
        <v>432375.09331313445</v>
      </c>
      <c r="T229" s="46" t="s">
        <v>50</v>
      </c>
      <c r="V229" s="114">
        <v>124800</v>
      </c>
      <c r="W229" t="s">
        <v>152</v>
      </c>
      <c r="X229" s="95" t="s">
        <v>147</v>
      </c>
      <c r="Y229" s="95" t="s">
        <v>147</v>
      </c>
      <c r="AA229" s="89">
        <v>-2.9000000000000001E-2</v>
      </c>
      <c r="AB229" s="91" t="s">
        <v>147</v>
      </c>
      <c r="AC229" s="90" t="s">
        <v>147</v>
      </c>
      <c r="AD229" s="90" t="s">
        <v>147</v>
      </c>
      <c r="AE229" s="91">
        <v>34.602344160000001</v>
      </c>
      <c r="AF229" s="91">
        <v>48.322000000000003</v>
      </c>
    </row>
    <row r="230" spans="1:32" s="46" customFormat="1" hidden="1" x14ac:dyDescent="0.35">
      <c r="A230" s="68" t="s">
        <v>54</v>
      </c>
      <c r="B230" s="46" t="s">
        <v>49</v>
      </c>
      <c r="C230" s="46">
        <v>2024</v>
      </c>
      <c r="D230" s="46" t="s">
        <v>135</v>
      </c>
      <c r="E230" s="46" t="s">
        <v>21</v>
      </c>
      <c r="F230" s="69" t="s">
        <v>5</v>
      </c>
      <c r="G230" s="72">
        <v>202309.58503321712</v>
      </c>
      <c r="H230" s="72">
        <v>371895.21704085852</v>
      </c>
      <c r="I230" s="72">
        <v>371895.21704085852</v>
      </c>
      <c r="J230" s="72">
        <v>670296.67564437934</v>
      </c>
      <c r="K230" s="72">
        <v>820431.73956167267</v>
      </c>
      <c r="L230" s="64">
        <v>5</v>
      </c>
      <c r="M230" s="65">
        <v>1.5</v>
      </c>
      <c r="N230" s="66">
        <v>202309.58503321712</v>
      </c>
      <c r="O230" s="66">
        <v>247930.14469390569</v>
      </c>
      <c r="P230" s="66">
        <v>247930.14469390569</v>
      </c>
      <c r="Q230" s="66">
        <v>446864.45042958623</v>
      </c>
      <c r="R230" s="66">
        <v>546954.49304111511</v>
      </c>
      <c r="S230" s="73">
        <v>546954.49304111511</v>
      </c>
      <c r="T230" s="46" t="s">
        <v>50</v>
      </c>
      <c r="V230" s="114">
        <v>124800</v>
      </c>
      <c r="W230" t="s">
        <v>152</v>
      </c>
      <c r="X230" s="95" t="s">
        <v>147</v>
      </c>
      <c r="Y230" s="95" t="s">
        <v>147</v>
      </c>
      <c r="AA230" s="89">
        <v>-2.0449999999999999</v>
      </c>
      <c r="AB230" s="91" t="s">
        <v>147</v>
      </c>
      <c r="AC230" s="90" t="s">
        <v>147</v>
      </c>
      <c r="AD230" s="90" t="s">
        <v>147</v>
      </c>
      <c r="AE230" s="91">
        <v>34.537000419999998</v>
      </c>
      <c r="AF230" s="91">
        <v>48.523000000000003</v>
      </c>
    </row>
    <row r="231" spans="1:32" s="46" customFormat="1" hidden="1" x14ac:dyDescent="0.35">
      <c r="A231" s="68" t="s">
        <v>54</v>
      </c>
      <c r="B231" s="46" t="s">
        <v>49</v>
      </c>
      <c r="C231" s="46">
        <v>2025</v>
      </c>
      <c r="D231" s="46" t="s">
        <v>135</v>
      </c>
      <c r="E231" s="46" t="s">
        <v>21</v>
      </c>
      <c r="F231" s="69" t="s">
        <v>5</v>
      </c>
      <c r="G231" s="72">
        <v>265025.55639351445</v>
      </c>
      <c r="H231" s="72">
        <v>487182.7343235247</v>
      </c>
      <c r="I231" s="72">
        <v>487182.7343235247</v>
      </c>
      <c r="J231" s="72">
        <v>878088.64509413694</v>
      </c>
      <c r="K231" s="72">
        <v>1074765.5788257911</v>
      </c>
      <c r="L231" s="64">
        <v>5</v>
      </c>
      <c r="M231" s="65">
        <v>1.5</v>
      </c>
      <c r="N231" s="66">
        <v>265025.55639351445</v>
      </c>
      <c r="O231" s="66">
        <v>324788.48954901646</v>
      </c>
      <c r="P231" s="66">
        <v>324788.48954901646</v>
      </c>
      <c r="Q231" s="66">
        <v>585392.43006275792</v>
      </c>
      <c r="R231" s="66">
        <v>716510.38588386076</v>
      </c>
      <c r="S231" s="73">
        <v>716510.38588386076</v>
      </c>
      <c r="T231" s="46" t="s">
        <v>50</v>
      </c>
      <c r="V231" s="114">
        <v>124800</v>
      </c>
      <c r="W231" t="s">
        <v>152</v>
      </c>
      <c r="X231" s="95" t="s">
        <v>147</v>
      </c>
      <c r="Y231" s="95" t="s">
        <v>147</v>
      </c>
      <c r="AA231" s="89">
        <v>-3.351</v>
      </c>
      <c r="AB231" s="91" t="s">
        <v>147</v>
      </c>
      <c r="AC231" s="90" t="s">
        <v>147</v>
      </c>
      <c r="AD231" s="90" t="s">
        <v>147</v>
      </c>
      <c r="AE231" s="91">
        <v>34.527198509999998</v>
      </c>
      <c r="AF231" s="91">
        <v>48.667000000000002</v>
      </c>
    </row>
    <row r="232" spans="1:32" s="47" customFormat="1" hidden="1" x14ac:dyDescent="0.35">
      <c r="A232" s="47" t="s">
        <v>54</v>
      </c>
      <c r="B232" s="47" t="s">
        <v>51</v>
      </c>
      <c r="C232" s="47">
        <v>2025</v>
      </c>
      <c r="D232" s="47" t="s">
        <v>136</v>
      </c>
      <c r="E232" s="47" t="s">
        <v>21</v>
      </c>
      <c r="F232" s="56" t="s">
        <v>5</v>
      </c>
      <c r="G232" s="60">
        <v>58066.09</v>
      </c>
      <c r="H232" s="60"/>
      <c r="I232" s="60"/>
      <c r="J232" s="60"/>
      <c r="K232" s="60">
        <v>225514.85</v>
      </c>
      <c r="L232" s="50">
        <v>5</v>
      </c>
      <c r="M232" s="51">
        <v>1.5</v>
      </c>
      <c r="N232" s="58"/>
      <c r="O232" s="58"/>
      <c r="P232" s="58"/>
      <c r="Q232" s="58"/>
      <c r="R232" s="58"/>
      <c r="S232" s="57">
        <v>150343.23000000001</v>
      </c>
      <c r="T232" s="47" t="s">
        <v>58</v>
      </c>
      <c r="V232" s="108">
        <v>75000</v>
      </c>
      <c r="W232" s="101"/>
      <c r="X232" s="53" t="s">
        <v>147</v>
      </c>
      <c r="Y232" s="53" t="s">
        <v>147</v>
      </c>
      <c r="AA232" s="86">
        <v>3.226</v>
      </c>
      <c r="AB232" s="86">
        <v>0.13</v>
      </c>
      <c r="AC232" s="87" t="s">
        <v>147</v>
      </c>
      <c r="AD232" s="87" t="s">
        <v>147</v>
      </c>
      <c r="AE232" s="88">
        <v>29.034720589999999</v>
      </c>
      <c r="AF232" s="88">
        <v>30.954999999999998</v>
      </c>
    </row>
    <row r="233" spans="1:32" hidden="1" x14ac:dyDescent="0.35">
      <c r="A233" s="23" t="s">
        <v>54</v>
      </c>
      <c r="B233" t="s">
        <v>51</v>
      </c>
      <c r="C233">
        <v>2025</v>
      </c>
      <c r="D233" t="s">
        <v>136</v>
      </c>
      <c r="E233" t="s">
        <v>21</v>
      </c>
      <c r="F233" s="10" t="s">
        <v>6</v>
      </c>
      <c r="G233" s="44">
        <v>32950.839999999997</v>
      </c>
      <c r="H233" s="44"/>
      <c r="I233" s="44"/>
      <c r="J233" s="44"/>
      <c r="K233" s="44">
        <v>122779.1</v>
      </c>
      <c r="L233" s="18">
        <v>5</v>
      </c>
      <c r="M233" s="19">
        <v>1.5</v>
      </c>
      <c r="N233" s="40"/>
      <c r="O233" s="40"/>
      <c r="P233" s="40"/>
      <c r="Q233" s="40"/>
      <c r="R233" s="40"/>
      <c r="S233" s="42">
        <v>150343.23000000001</v>
      </c>
      <c r="T233" t="s">
        <v>58</v>
      </c>
      <c r="V233" s="109">
        <v>75000</v>
      </c>
      <c r="X233" s="95" t="s">
        <v>147</v>
      </c>
      <c r="Y233" s="95" t="s">
        <v>147</v>
      </c>
      <c r="AA233" s="89">
        <v>3.226</v>
      </c>
      <c r="AB233" s="89">
        <v>0.13</v>
      </c>
      <c r="AC233" s="90" t="s">
        <v>147</v>
      </c>
      <c r="AD233" s="90" t="s">
        <v>147</v>
      </c>
      <c r="AE233" s="91">
        <v>29.034720589999999</v>
      </c>
      <c r="AF233" s="91">
        <v>30.954999999999998</v>
      </c>
    </row>
    <row r="234" spans="1:32" hidden="1" x14ac:dyDescent="0.35">
      <c r="A234" s="23" t="s">
        <v>54</v>
      </c>
      <c r="B234" t="s">
        <v>51</v>
      </c>
      <c r="C234">
        <v>2025</v>
      </c>
      <c r="D234" t="s">
        <v>136</v>
      </c>
      <c r="E234" t="s">
        <v>21</v>
      </c>
      <c r="F234" s="10" t="s">
        <v>7</v>
      </c>
      <c r="G234" s="44">
        <v>9149.1</v>
      </c>
      <c r="H234" s="23"/>
      <c r="I234" s="23"/>
      <c r="J234" s="23"/>
      <c r="K234" s="44">
        <v>30121</v>
      </c>
      <c r="L234" s="18">
        <v>5</v>
      </c>
      <c r="M234" s="19">
        <v>1.5</v>
      </c>
      <c r="N234" s="40"/>
      <c r="O234" s="40"/>
      <c r="P234" s="40"/>
      <c r="Q234" s="40"/>
      <c r="R234" s="40"/>
      <c r="S234" s="42">
        <v>150343.23000000001</v>
      </c>
      <c r="T234" t="s">
        <v>58</v>
      </c>
      <c r="V234" s="109">
        <v>75000</v>
      </c>
      <c r="X234" s="95" t="s">
        <v>147</v>
      </c>
      <c r="Y234" s="95" t="s">
        <v>147</v>
      </c>
      <c r="AA234" s="89">
        <v>3.226</v>
      </c>
      <c r="AB234" s="89">
        <v>0.13</v>
      </c>
      <c r="AC234" s="90" t="s">
        <v>147</v>
      </c>
      <c r="AD234" s="90" t="s">
        <v>147</v>
      </c>
      <c r="AE234" s="91">
        <v>29.034720589999999</v>
      </c>
      <c r="AF234" s="91">
        <v>30.954999999999998</v>
      </c>
    </row>
    <row r="235" spans="1:32" hidden="1" x14ac:dyDescent="0.35">
      <c r="A235" s="23" t="s">
        <v>54</v>
      </c>
      <c r="B235" t="s">
        <v>51</v>
      </c>
      <c r="C235">
        <v>2025</v>
      </c>
      <c r="D235" t="s">
        <v>136</v>
      </c>
      <c r="E235" t="s">
        <v>21</v>
      </c>
      <c r="F235" s="3" t="s">
        <v>8</v>
      </c>
      <c r="G235" s="44">
        <v>11740.15</v>
      </c>
      <c r="H235" s="23"/>
      <c r="I235" s="23"/>
      <c r="J235" s="23"/>
      <c r="K235" s="23">
        <v>58700.72</v>
      </c>
      <c r="L235" s="18">
        <v>5</v>
      </c>
      <c r="M235" s="19">
        <v>1.5</v>
      </c>
      <c r="N235" s="40"/>
      <c r="O235" s="40"/>
      <c r="P235" s="40"/>
      <c r="Q235" s="40"/>
      <c r="R235" s="40"/>
      <c r="S235" s="42">
        <v>150343.23000000001</v>
      </c>
      <c r="T235" t="s">
        <v>58</v>
      </c>
      <c r="V235" s="109">
        <v>75000</v>
      </c>
      <c r="X235" s="95" t="s">
        <v>147</v>
      </c>
      <c r="Y235" s="95" t="s">
        <v>147</v>
      </c>
      <c r="AA235" s="89">
        <v>3.226</v>
      </c>
      <c r="AB235" s="89">
        <v>0.13</v>
      </c>
      <c r="AC235" s="90" t="s">
        <v>147</v>
      </c>
      <c r="AD235" s="90" t="s">
        <v>147</v>
      </c>
      <c r="AE235" s="91">
        <v>29.034720589999999</v>
      </c>
      <c r="AF235" s="91">
        <v>30.954999999999998</v>
      </c>
    </row>
    <row r="236" spans="1:32" hidden="1" x14ac:dyDescent="0.35">
      <c r="A236" s="23" t="s">
        <v>54</v>
      </c>
      <c r="B236" t="s">
        <v>51</v>
      </c>
      <c r="C236">
        <v>2025</v>
      </c>
      <c r="D236" t="s">
        <v>136</v>
      </c>
      <c r="E236" t="s">
        <v>21</v>
      </c>
      <c r="F236" s="3" t="s">
        <v>9</v>
      </c>
      <c r="G236" s="23">
        <v>4226</v>
      </c>
      <c r="H236" s="23"/>
      <c r="I236" s="23"/>
      <c r="J236" s="23"/>
      <c r="K236" s="23">
        <v>13904.58</v>
      </c>
      <c r="L236" s="18">
        <v>5</v>
      </c>
      <c r="M236" s="19">
        <v>1.5</v>
      </c>
      <c r="N236" s="40"/>
      <c r="O236" s="40"/>
      <c r="P236" s="40"/>
      <c r="Q236" s="40"/>
      <c r="R236" s="40"/>
      <c r="S236" s="42">
        <v>150343.23000000001</v>
      </c>
      <c r="T236" t="s">
        <v>58</v>
      </c>
      <c r="V236" s="109">
        <v>75000</v>
      </c>
      <c r="X236" s="95" t="s">
        <v>147</v>
      </c>
      <c r="Y236" s="95" t="s">
        <v>147</v>
      </c>
      <c r="AA236" s="89">
        <v>3.226</v>
      </c>
      <c r="AB236" s="89">
        <v>0.13</v>
      </c>
      <c r="AC236" s="90" t="s">
        <v>147</v>
      </c>
      <c r="AD236" s="90" t="s">
        <v>147</v>
      </c>
      <c r="AE236" s="91">
        <v>29.034720589999999</v>
      </c>
      <c r="AF236" s="91">
        <v>30.954999999999998</v>
      </c>
    </row>
    <row r="237" spans="1:32" s="47" customFormat="1" hidden="1" x14ac:dyDescent="0.35">
      <c r="A237" s="47" t="s">
        <v>53</v>
      </c>
      <c r="B237" s="77" t="s">
        <v>52</v>
      </c>
      <c r="C237" s="47">
        <v>2016</v>
      </c>
      <c r="D237" s="47" t="s">
        <v>60</v>
      </c>
      <c r="E237" s="47" t="s">
        <v>21</v>
      </c>
      <c r="F237" s="56" t="s">
        <v>5</v>
      </c>
      <c r="G237" s="61">
        <v>628630.77334437054</v>
      </c>
      <c r="H237" s="61">
        <v>1035534.7191207038</v>
      </c>
      <c r="I237" s="61">
        <v>1489958.3259674842</v>
      </c>
      <c r="J237" s="47">
        <v>1925578.9804599455</v>
      </c>
      <c r="K237" s="57">
        <v>2378851.3144455422</v>
      </c>
      <c r="L237" s="50">
        <v>4</v>
      </c>
      <c r="M237" s="51">
        <v>1.5</v>
      </c>
      <c r="N237" s="52">
        <v>628630.77334437054</v>
      </c>
      <c r="O237" s="52">
        <v>690356.4794138025</v>
      </c>
      <c r="P237" s="52">
        <v>993305.55064498947</v>
      </c>
      <c r="Q237" s="52">
        <v>1283719.3203066303</v>
      </c>
      <c r="R237" s="52">
        <v>1585900.876297028</v>
      </c>
      <c r="S237" s="57">
        <v>1283719.3333333333</v>
      </c>
      <c r="T237" s="47" t="s">
        <v>61</v>
      </c>
      <c r="V237" s="108"/>
      <c r="W237" s="101"/>
      <c r="X237" s="53">
        <v>800000</v>
      </c>
      <c r="Y237" s="53">
        <v>1036404.645</v>
      </c>
      <c r="AA237" s="86">
        <v>1.617</v>
      </c>
      <c r="AB237" s="86">
        <v>7.51</v>
      </c>
      <c r="AC237" s="87">
        <v>62.418999999999997</v>
      </c>
      <c r="AD237" s="87">
        <v>8.9220000000000006</v>
      </c>
      <c r="AE237" s="88">
        <v>52.532229719999997</v>
      </c>
      <c r="AF237" s="88">
        <v>52.484999999999999</v>
      </c>
    </row>
    <row r="238" spans="1:32" hidden="1" x14ac:dyDescent="0.35">
      <c r="A238" t="s">
        <v>53</v>
      </c>
      <c r="B238" s="77" t="s">
        <v>52</v>
      </c>
      <c r="C238">
        <v>2016</v>
      </c>
      <c r="D238" t="s">
        <v>60</v>
      </c>
      <c r="E238" t="s">
        <v>21</v>
      </c>
      <c r="F238" s="10" t="s">
        <v>6</v>
      </c>
      <c r="G238" s="5">
        <v>213878.81883333335</v>
      </c>
      <c r="H238" s="5">
        <v>364545.23945130984</v>
      </c>
      <c r="I238" s="5">
        <v>532169.49136600667</v>
      </c>
      <c r="J238" s="5">
        <v>698282.47554682731</v>
      </c>
      <c r="K238" s="5">
        <v>868689.65448853781</v>
      </c>
      <c r="L238" s="18">
        <v>4</v>
      </c>
      <c r="M238" s="19">
        <v>1.5</v>
      </c>
      <c r="N238" s="43">
        <v>628630.77334437054</v>
      </c>
      <c r="O238" s="43">
        <v>690356.4794138025</v>
      </c>
      <c r="P238" s="43">
        <v>993305.55064498947</v>
      </c>
      <c r="Q238" s="43">
        <v>1283719.3203066303</v>
      </c>
      <c r="R238" s="43">
        <v>1585900.876297028</v>
      </c>
      <c r="S238" s="42">
        <v>1283719.3333333333</v>
      </c>
      <c r="T238" t="s">
        <v>61</v>
      </c>
      <c r="V238" s="109">
        <v>689455</v>
      </c>
      <c r="X238" s="94">
        <v>800000</v>
      </c>
      <c r="Y238" s="94">
        <v>1036404.645</v>
      </c>
      <c r="AA238" s="89">
        <v>1.617</v>
      </c>
      <c r="AB238" s="89">
        <v>7.51</v>
      </c>
      <c r="AC238" s="90">
        <v>62.418999999999997</v>
      </c>
      <c r="AD238" s="90">
        <v>8.9220000000000006</v>
      </c>
      <c r="AE238" s="91">
        <v>52.532229719999997</v>
      </c>
      <c r="AF238" s="91">
        <v>52.484999999999999</v>
      </c>
    </row>
    <row r="239" spans="1:32" hidden="1" x14ac:dyDescent="0.35">
      <c r="A239" t="s">
        <v>53</v>
      </c>
      <c r="B239" s="77" t="s">
        <v>52</v>
      </c>
      <c r="C239">
        <v>2016</v>
      </c>
      <c r="D239" t="s">
        <v>60</v>
      </c>
      <c r="E239" t="s">
        <v>21</v>
      </c>
      <c r="F239" s="10" t="s">
        <v>7</v>
      </c>
      <c r="G239" s="5">
        <v>173460.79051103719</v>
      </c>
      <c r="H239" s="5">
        <v>276056.13516572292</v>
      </c>
      <c r="I239" s="5">
        <v>392314.44856051245</v>
      </c>
      <c r="J239" s="5">
        <v>500842.34305754525</v>
      </c>
      <c r="K239" s="5">
        <v>615341.83342086908</v>
      </c>
      <c r="L239" s="18">
        <v>4</v>
      </c>
      <c r="M239" s="19">
        <v>1.5</v>
      </c>
      <c r="N239" s="43">
        <v>628630.77334437054</v>
      </c>
      <c r="O239" s="43">
        <v>690356.4794138025</v>
      </c>
      <c r="P239" s="43">
        <v>993305.55064498947</v>
      </c>
      <c r="Q239" s="43">
        <v>1283719.3203066303</v>
      </c>
      <c r="R239" s="43">
        <v>1585900.876297028</v>
      </c>
      <c r="S239" s="42">
        <v>1283719.3333333333</v>
      </c>
      <c r="T239" t="s">
        <v>61</v>
      </c>
      <c r="V239" s="109">
        <v>689455</v>
      </c>
      <c r="X239" s="94">
        <v>800000</v>
      </c>
      <c r="Y239" s="94">
        <v>1036404.645</v>
      </c>
      <c r="AA239" s="89">
        <v>1.617</v>
      </c>
      <c r="AB239" s="89">
        <v>7.51</v>
      </c>
      <c r="AC239" s="90">
        <v>62.418999999999997</v>
      </c>
      <c r="AD239" s="90">
        <v>8.9220000000000006</v>
      </c>
      <c r="AE239" s="91">
        <v>52.532229719999997</v>
      </c>
      <c r="AF239" s="91">
        <v>52.484999999999999</v>
      </c>
    </row>
    <row r="240" spans="1:32" hidden="1" x14ac:dyDescent="0.35">
      <c r="A240" t="s">
        <v>53</v>
      </c>
      <c r="B240" s="77" t="s">
        <v>52</v>
      </c>
      <c r="C240">
        <v>2016</v>
      </c>
      <c r="D240" t="s">
        <v>60</v>
      </c>
      <c r="E240" t="s">
        <v>21</v>
      </c>
      <c r="F240" s="3" t="s">
        <v>8</v>
      </c>
      <c r="G240" s="5">
        <v>26748.493999999999</v>
      </c>
      <c r="H240" s="5">
        <v>53496.987999999998</v>
      </c>
      <c r="I240" s="5">
        <v>80245.481999999989</v>
      </c>
      <c r="J240" s="5">
        <v>106993.976</v>
      </c>
      <c r="K240" s="5">
        <v>133742.47</v>
      </c>
      <c r="L240" s="18">
        <v>4</v>
      </c>
      <c r="M240" s="19">
        <v>1.5</v>
      </c>
      <c r="N240" s="43">
        <v>628630.77334437054</v>
      </c>
      <c r="O240" s="43">
        <v>690356.4794138025</v>
      </c>
      <c r="P240" s="43">
        <v>993305.55064498947</v>
      </c>
      <c r="Q240" s="43">
        <v>1283719.3203066303</v>
      </c>
      <c r="R240" s="43">
        <v>1585900.876297028</v>
      </c>
      <c r="S240" s="42">
        <v>1283719.3333333333</v>
      </c>
      <c r="T240" t="s">
        <v>61</v>
      </c>
      <c r="V240" s="109">
        <v>689455</v>
      </c>
      <c r="X240" s="94">
        <v>800000</v>
      </c>
      <c r="Y240" s="94">
        <v>1036404.645</v>
      </c>
      <c r="AA240" s="89">
        <v>1.617</v>
      </c>
      <c r="AB240" s="89">
        <v>7.51</v>
      </c>
      <c r="AC240" s="90">
        <v>62.418999999999997</v>
      </c>
      <c r="AD240" s="90">
        <v>8.9220000000000006</v>
      </c>
      <c r="AE240" s="91">
        <v>52.532229719999997</v>
      </c>
      <c r="AF240" s="91">
        <v>52.484999999999999</v>
      </c>
    </row>
    <row r="241" spans="1:32" hidden="1" x14ac:dyDescent="0.35">
      <c r="A241" t="s">
        <v>53</v>
      </c>
      <c r="B241" s="77" t="s">
        <v>52</v>
      </c>
      <c r="C241">
        <v>2016</v>
      </c>
      <c r="D241" t="s">
        <v>60</v>
      </c>
      <c r="E241" t="s">
        <v>21</v>
      </c>
      <c r="F241" s="3" t="s">
        <v>9</v>
      </c>
      <c r="G241" s="5">
        <v>214542.67</v>
      </c>
      <c r="H241" s="5">
        <v>341436.35650367104</v>
      </c>
      <c r="I241" s="5">
        <v>485228.90404096508</v>
      </c>
      <c r="J241" s="5">
        <v>619460.18585557304</v>
      </c>
      <c r="K241" s="5">
        <v>761077.35653613508</v>
      </c>
      <c r="L241" s="18">
        <v>4</v>
      </c>
      <c r="M241" s="19">
        <v>1.5</v>
      </c>
      <c r="N241" s="43">
        <v>628630.77334437054</v>
      </c>
      <c r="O241" s="43">
        <v>690356.4794138025</v>
      </c>
      <c r="P241" s="43">
        <v>993305.55064498947</v>
      </c>
      <c r="Q241" s="43">
        <v>1283719.3203066303</v>
      </c>
      <c r="R241" s="43">
        <v>1585900.876297028</v>
      </c>
      <c r="S241" s="42">
        <v>1283719.3333333333</v>
      </c>
      <c r="T241" t="s">
        <v>61</v>
      </c>
      <c r="V241" s="109">
        <v>689455</v>
      </c>
      <c r="X241" s="94">
        <v>800000</v>
      </c>
      <c r="Y241" s="94">
        <v>1036404.645</v>
      </c>
      <c r="AA241" s="89">
        <v>1.617</v>
      </c>
      <c r="AB241" s="89">
        <v>7.51</v>
      </c>
      <c r="AC241" s="90">
        <v>62.418999999999997</v>
      </c>
      <c r="AD241" s="90">
        <v>8.9220000000000006</v>
      </c>
      <c r="AE241" s="91">
        <v>52.532229719999997</v>
      </c>
      <c r="AF241" s="91">
        <v>52.484999999999999</v>
      </c>
    </row>
    <row r="242" spans="1:32" hidden="1" x14ac:dyDescent="0.35">
      <c r="A242" t="s">
        <v>53</v>
      </c>
      <c r="B242" s="77" t="s">
        <v>52</v>
      </c>
      <c r="C242">
        <v>2024</v>
      </c>
      <c r="D242" t="s">
        <v>137</v>
      </c>
      <c r="E242" t="s">
        <v>21</v>
      </c>
      <c r="F242" s="9" t="s">
        <v>5</v>
      </c>
      <c r="G242" s="26">
        <v>966599</v>
      </c>
      <c r="H242" s="26">
        <v>1598704</v>
      </c>
      <c r="I242" s="26">
        <v>2304107</v>
      </c>
      <c r="J242" s="26">
        <v>2982960</v>
      </c>
      <c r="L242" s="18">
        <v>4</v>
      </c>
      <c r="M242" s="19">
        <v>1.5</v>
      </c>
      <c r="N242" s="40"/>
      <c r="O242" s="40"/>
      <c r="P242" s="40"/>
      <c r="Q242" s="40"/>
      <c r="R242" s="40"/>
      <c r="S242" s="42">
        <v>1988640</v>
      </c>
      <c r="T242" t="s">
        <v>61</v>
      </c>
      <c r="V242" s="109">
        <v>1300000</v>
      </c>
      <c r="X242" s="94">
        <v>1300000</v>
      </c>
      <c r="Y242" s="94">
        <v>1926546.622</v>
      </c>
      <c r="AA242" s="89">
        <v>0.46</v>
      </c>
      <c r="AB242" s="89">
        <v>6.61</v>
      </c>
      <c r="AC242" s="90">
        <v>56.143000000000001</v>
      </c>
      <c r="AD242" s="90">
        <v>9.6189999999999998</v>
      </c>
      <c r="AE242" s="91">
        <v>54.252195710000002</v>
      </c>
      <c r="AF242" s="91">
        <v>50.634</v>
      </c>
    </row>
    <row r="243" spans="1:32" hidden="1" x14ac:dyDescent="0.35">
      <c r="A243" t="s">
        <v>53</v>
      </c>
      <c r="B243" s="77" t="s">
        <v>52</v>
      </c>
      <c r="C243">
        <v>2024</v>
      </c>
      <c r="D243" t="s">
        <v>137</v>
      </c>
      <c r="E243" t="s">
        <v>21</v>
      </c>
      <c r="F243" s="10" t="s">
        <v>6</v>
      </c>
      <c r="J243" s="26">
        <v>1289025</v>
      </c>
      <c r="L243" s="18">
        <v>4</v>
      </c>
      <c r="M243" s="19">
        <v>1.5</v>
      </c>
      <c r="N243" s="40"/>
      <c r="O243" s="40"/>
      <c r="P243" s="40"/>
      <c r="Q243" s="40"/>
      <c r="R243" s="40"/>
      <c r="S243" s="42">
        <v>1988640</v>
      </c>
      <c r="T243" t="s">
        <v>61</v>
      </c>
      <c r="V243" s="109">
        <v>1300000</v>
      </c>
      <c r="X243" s="94">
        <v>1300000</v>
      </c>
      <c r="Y243" s="94">
        <v>1926546.622</v>
      </c>
      <c r="AA243" s="89">
        <v>0.46</v>
      </c>
      <c r="AB243" s="89">
        <v>6.61</v>
      </c>
      <c r="AC243" s="90">
        <v>56.143000000000001</v>
      </c>
      <c r="AD243" s="90">
        <v>9.6189999999999998</v>
      </c>
      <c r="AE243" s="91">
        <v>54.252195710000002</v>
      </c>
      <c r="AF243" s="91">
        <v>50.634</v>
      </c>
    </row>
    <row r="244" spans="1:32" hidden="1" x14ac:dyDescent="0.35">
      <c r="A244" t="s">
        <v>53</v>
      </c>
      <c r="B244" s="77" t="s">
        <v>52</v>
      </c>
      <c r="C244">
        <v>2024</v>
      </c>
      <c r="D244" t="s">
        <v>137</v>
      </c>
      <c r="E244" t="s">
        <v>21</v>
      </c>
      <c r="F244" s="10" t="s">
        <v>7</v>
      </c>
      <c r="J244" s="26">
        <v>711780</v>
      </c>
      <c r="L244" s="18">
        <v>4</v>
      </c>
      <c r="M244" s="19">
        <v>1.5</v>
      </c>
      <c r="N244" s="40"/>
      <c r="O244" s="40"/>
      <c r="P244" s="40"/>
      <c r="Q244" s="40"/>
      <c r="R244" s="40"/>
      <c r="S244" s="42">
        <v>1988640</v>
      </c>
      <c r="T244" t="s">
        <v>61</v>
      </c>
      <c r="V244" s="109">
        <v>1300000</v>
      </c>
      <c r="X244" s="94">
        <v>1300000</v>
      </c>
      <c r="Y244" s="94">
        <v>1926546.622</v>
      </c>
      <c r="AA244" s="89">
        <v>0.46</v>
      </c>
      <c r="AB244" s="89">
        <v>6.61</v>
      </c>
      <c r="AC244" s="90">
        <v>56.143000000000001</v>
      </c>
      <c r="AD244" s="90">
        <v>9.6189999999999998</v>
      </c>
      <c r="AE244" s="91">
        <v>54.252195710000002</v>
      </c>
      <c r="AF244" s="91">
        <v>50.634</v>
      </c>
    </row>
    <row r="245" spans="1:32" hidden="1" x14ac:dyDescent="0.35">
      <c r="A245" t="s">
        <v>53</v>
      </c>
      <c r="B245" s="77" t="s">
        <v>52</v>
      </c>
      <c r="C245">
        <v>2024</v>
      </c>
      <c r="D245" t="s">
        <v>137</v>
      </c>
      <c r="E245" t="s">
        <v>21</v>
      </c>
      <c r="F245" s="3" t="s">
        <v>8</v>
      </c>
      <c r="J245" s="26">
        <v>154606</v>
      </c>
      <c r="L245" s="18">
        <v>4</v>
      </c>
      <c r="M245" s="19">
        <v>1.5</v>
      </c>
      <c r="N245" s="40"/>
      <c r="O245" s="40"/>
      <c r="P245" s="40"/>
      <c r="Q245" s="40"/>
      <c r="R245" s="40"/>
      <c r="S245" s="42">
        <v>1988640</v>
      </c>
      <c r="T245" t="s">
        <v>61</v>
      </c>
      <c r="V245" s="109">
        <v>1300000</v>
      </c>
      <c r="X245" s="94">
        <v>1300000</v>
      </c>
      <c r="Y245" s="94">
        <v>1926546.622</v>
      </c>
      <c r="AA245" s="89">
        <v>0.46</v>
      </c>
      <c r="AB245" s="89">
        <v>6.61</v>
      </c>
      <c r="AC245" s="90">
        <v>56.143000000000001</v>
      </c>
      <c r="AD245" s="90">
        <v>9.6189999999999998</v>
      </c>
      <c r="AE245" s="91">
        <v>54.252195710000002</v>
      </c>
      <c r="AF245" s="91">
        <v>50.634</v>
      </c>
    </row>
    <row r="246" spans="1:32" hidden="1" x14ac:dyDescent="0.35">
      <c r="A246" t="s">
        <v>53</v>
      </c>
      <c r="B246" s="77" t="s">
        <v>52</v>
      </c>
      <c r="C246">
        <v>2024</v>
      </c>
      <c r="D246" t="s">
        <v>137</v>
      </c>
      <c r="E246" t="s">
        <v>21</v>
      </c>
      <c r="F246" s="3" t="s">
        <v>9</v>
      </c>
      <c r="J246" s="26">
        <v>827549</v>
      </c>
      <c r="L246" s="18">
        <v>4</v>
      </c>
      <c r="M246" s="19">
        <v>1.5</v>
      </c>
      <c r="N246" s="40"/>
      <c r="O246" s="40"/>
      <c r="P246" s="40"/>
      <c r="Q246" s="40"/>
      <c r="R246" s="40"/>
      <c r="S246" s="42">
        <v>1988640</v>
      </c>
      <c r="T246" t="s">
        <v>61</v>
      </c>
      <c r="V246" s="109">
        <v>1300000</v>
      </c>
      <c r="X246" s="94">
        <v>1300000</v>
      </c>
      <c r="Y246" s="94">
        <v>1926546.622</v>
      </c>
      <c r="AA246" s="89">
        <v>0.46</v>
      </c>
      <c r="AB246" s="89">
        <v>6.61</v>
      </c>
      <c r="AC246" s="90">
        <v>56.143000000000001</v>
      </c>
      <c r="AD246" s="90">
        <v>9.6189999999999998</v>
      </c>
      <c r="AE246" s="91">
        <v>54.252195710000002</v>
      </c>
      <c r="AF246" s="91">
        <v>50.634</v>
      </c>
    </row>
    <row r="247" spans="1:32" s="47" customFormat="1" hidden="1" x14ac:dyDescent="0.35">
      <c r="A247" s="47" t="s">
        <v>54</v>
      </c>
      <c r="B247" s="47" t="s">
        <v>55</v>
      </c>
      <c r="C247" s="47">
        <v>2024</v>
      </c>
      <c r="D247" s="47" t="s">
        <v>60</v>
      </c>
      <c r="E247" s="47" t="s">
        <v>21</v>
      </c>
      <c r="F247" s="56" t="s">
        <v>5</v>
      </c>
      <c r="G247" s="47">
        <v>8159.8599422891666</v>
      </c>
      <c r="H247" s="47">
        <v>14237.680378167521</v>
      </c>
      <c r="I247" s="47">
        <v>20512.321884099147</v>
      </c>
      <c r="J247" s="47">
        <v>26502.187499508618</v>
      </c>
      <c r="K247" s="78">
        <v>45100.744189002748</v>
      </c>
      <c r="L247" s="50">
        <v>4</v>
      </c>
      <c r="M247" s="51">
        <v>1.5</v>
      </c>
      <c r="N247" s="58">
        <v>8159.8599422891666</v>
      </c>
      <c r="O247" s="58">
        <v>9491.7869187783472</v>
      </c>
      <c r="P247" s="58">
        <v>13674.881256066097</v>
      </c>
      <c r="Q247" s="58">
        <v>17668.124999672411</v>
      </c>
      <c r="R247" s="58">
        <v>30067.1627926685</v>
      </c>
      <c r="S247" s="57">
        <v>17668.124999672411</v>
      </c>
      <c r="T247" s="47" t="s">
        <v>68</v>
      </c>
      <c r="V247" s="108"/>
      <c r="W247" s="101" t="s">
        <v>153</v>
      </c>
      <c r="X247" s="53">
        <v>15000</v>
      </c>
      <c r="Y247" s="53">
        <v>20811.599999999999</v>
      </c>
      <c r="AA247" s="86">
        <v>3.169</v>
      </c>
      <c r="AB247" s="86">
        <v>4.95</v>
      </c>
      <c r="AC247" s="87">
        <v>88.126999999999995</v>
      </c>
      <c r="AD247" s="87">
        <v>4.173</v>
      </c>
      <c r="AE247" s="88">
        <v>24.60584454</v>
      </c>
      <c r="AF247" s="88">
        <v>61.924999999999997</v>
      </c>
    </row>
    <row r="248" spans="1:32" hidden="1" x14ac:dyDescent="0.35">
      <c r="A248" s="23" t="s">
        <v>54</v>
      </c>
      <c r="B248" t="s">
        <v>55</v>
      </c>
      <c r="C248">
        <v>2024</v>
      </c>
      <c r="D248" t="s">
        <v>60</v>
      </c>
      <c r="E248" t="s">
        <v>21</v>
      </c>
      <c r="F248" s="10" t="s">
        <v>6</v>
      </c>
      <c r="G248" s="81">
        <v>4096.9868383749999</v>
      </c>
      <c r="H248" s="81">
        <v>7134.4068436226189</v>
      </c>
      <c r="I248" s="81">
        <v>10623.322992432841</v>
      </c>
      <c r="J248" s="81">
        <v>13912.388123267127</v>
      </c>
      <c r="K248" s="81">
        <v>29699.087405411708</v>
      </c>
      <c r="L248" s="18">
        <v>4</v>
      </c>
      <c r="M248" s="19">
        <v>1.5</v>
      </c>
      <c r="N248" s="40">
        <v>8159.8599422891666</v>
      </c>
      <c r="O248" s="40">
        <v>9491.7869187783472</v>
      </c>
      <c r="P248" s="40">
        <v>13674.881256066097</v>
      </c>
      <c r="Q248" s="40">
        <v>17668.124999672411</v>
      </c>
      <c r="R248" s="40">
        <v>30067.1627926685</v>
      </c>
      <c r="S248" s="42">
        <v>17668.124999672411</v>
      </c>
      <c r="T248" t="s">
        <v>68</v>
      </c>
      <c r="X248" s="94">
        <v>15000</v>
      </c>
      <c r="Y248" s="94">
        <v>20811.599999999999</v>
      </c>
      <c r="AA248" s="89">
        <v>3.169</v>
      </c>
      <c r="AB248" s="89">
        <v>4.95</v>
      </c>
      <c r="AC248" s="90">
        <v>88.126999999999995</v>
      </c>
      <c r="AD248" s="90">
        <v>4.173</v>
      </c>
      <c r="AE248" s="91">
        <v>24.60584454</v>
      </c>
      <c r="AF248" s="91">
        <v>61.924999999999997</v>
      </c>
    </row>
    <row r="249" spans="1:32" hidden="1" x14ac:dyDescent="0.35">
      <c r="A249" s="23" t="s">
        <v>54</v>
      </c>
      <c r="B249" t="s">
        <v>55</v>
      </c>
      <c r="C249">
        <v>2024</v>
      </c>
      <c r="D249" t="s">
        <v>60</v>
      </c>
      <c r="E249" t="s">
        <v>21</v>
      </c>
      <c r="F249" s="10" t="s">
        <v>7</v>
      </c>
      <c r="G249" s="81">
        <v>1709.5856839141666</v>
      </c>
      <c r="H249" s="81">
        <v>2909.9285322324013</v>
      </c>
      <c r="I249" s="81">
        <v>3983.4303803183075</v>
      </c>
      <c r="J249" s="81">
        <v>5014.6353689984935</v>
      </c>
      <c r="K249" s="81">
        <v>6101.1522928960385</v>
      </c>
      <c r="L249" s="18">
        <v>4</v>
      </c>
      <c r="M249" s="19">
        <v>1.5</v>
      </c>
      <c r="N249" s="40">
        <v>8159.8599422891666</v>
      </c>
      <c r="O249" s="40">
        <v>9491.7869187783472</v>
      </c>
      <c r="P249" s="40">
        <v>13674.881256066097</v>
      </c>
      <c r="Q249" s="40">
        <v>17668.124999672411</v>
      </c>
      <c r="R249" s="40">
        <v>30067.1627926685</v>
      </c>
      <c r="S249" s="42">
        <v>17668.124999672411</v>
      </c>
      <c r="T249" t="s">
        <v>68</v>
      </c>
      <c r="X249" s="94">
        <v>15000</v>
      </c>
      <c r="Y249" s="94">
        <v>20811.599999999999</v>
      </c>
      <c r="AA249" s="89">
        <v>3.169</v>
      </c>
      <c r="AB249" s="89">
        <v>4.95</v>
      </c>
      <c r="AC249" s="90">
        <v>88.126999999999995</v>
      </c>
      <c r="AD249" s="90">
        <v>4.173</v>
      </c>
      <c r="AE249" s="91">
        <v>24.60584454</v>
      </c>
      <c r="AF249" s="91">
        <v>61.924999999999997</v>
      </c>
    </row>
    <row r="250" spans="1:32" hidden="1" x14ac:dyDescent="0.35">
      <c r="A250" s="23" t="s">
        <v>54</v>
      </c>
      <c r="B250" t="s">
        <v>55</v>
      </c>
      <c r="C250">
        <v>2024</v>
      </c>
      <c r="D250" t="s">
        <v>60</v>
      </c>
      <c r="E250" t="s">
        <v>21</v>
      </c>
      <c r="F250" s="3" t="s">
        <v>8</v>
      </c>
      <c r="G250" s="81">
        <v>630.31691999999998</v>
      </c>
      <c r="H250" s="81">
        <v>1260.63384</v>
      </c>
      <c r="I250" s="81">
        <v>1890.9507599999999</v>
      </c>
      <c r="J250" s="81">
        <v>2521.2676799999999</v>
      </c>
      <c r="K250" s="81">
        <v>3151.5846000000001</v>
      </c>
      <c r="L250" s="18">
        <v>4</v>
      </c>
      <c r="M250" s="19">
        <v>1.5</v>
      </c>
      <c r="N250" s="40">
        <v>8159.8599422891666</v>
      </c>
      <c r="O250" s="40">
        <v>9491.7869187783472</v>
      </c>
      <c r="P250" s="40">
        <v>13674.881256066097</v>
      </c>
      <c r="Q250" s="40">
        <v>17668.124999672411</v>
      </c>
      <c r="R250" s="40">
        <v>30067.1627926685</v>
      </c>
      <c r="S250" s="42">
        <v>17668.124999672411</v>
      </c>
      <c r="T250" t="s">
        <v>68</v>
      </c>
      <c r="X250" s="94">
        <v>15000</v>
      </c>
      <c r="Y250" s="94">
        <v>20811.599999999999</v>
      </c>
      <c r="AA250" s="89">
        <v>3.169</v>
      </c>
      <c r="AB250" s="89">
        <v>4.95</v>
      </c>
      <c r="AC250" s="90">
        <v>88.126999999999995</v>
      </c>
      <c r="AD250" s="90">
        <v>4.173</v>
      </c>
      <c r="AE250" s="91">
        <v>24.60584454</v>
      </c>
      <c r="AF250" s="91">
        <v>61.924999999999997</v>
      </c>
    </row>
    <row r="251" spans="1:32" hidden="1" x14ac:dyDescent="0.35">
      <c r="A251" s="23" t="s">
        <v>54</v>
      </c>
      <c r="B251" t="s">
        <v>55</v>
      </c>
      <c r="C251">
        <v>2024</v>
      </c>
      <c r="D251" t="s">
        <v>60</v>
      </c>
      <c r="E251" t="s">
        <v>21</v>
      </c>
      <c r="F251" s="3" t="s">
        <v>9</v>
      </c>
      <c r="G251" s="81">
        <v>1722.9704999999999</v>
      </c>
      <c r="H251" s="81">
        <v>2932.7111623125002</v>
      </c>
      <c r="I251" s="81">
        <v>4014.6177513479997</v>
      </c>
      <c r="J251" s="81">
        <v>5053.8963272430001</v>
      </c>
      <c r="K251" s="81">
        <v>6148.9198906949996</v>
      </c>
      <c r="L251" s="18">
        <v>4</v>
      </c>
      <c r="M251" s="19">
        <v>1.5</v>
      </c>
      <c r="N251" s="40">
        <v>8159.8599422891666</v>
      </c>
      <c r="O251" s="40">
        <v>9491.7869187783472</v>
      </c>
      <c r="P251" s="40">
        <v>13674.881256066097</v>
      </c>
      <c r="Q251" s="40">
        <v>17668.124999672411</v>
      </c>
      <c r="R251" s="40">
        <v>30067.1627926685</v>
      </c>
      <c r="S251" s="42">
        <v>17668.124999672411</v>
      </c>
      <c r="T251" t="s">
        <v>68</v>
      </c>
      <c r="X251" s="94">
        <v>15000</v>
      </c>
      <c r="Y251" s="94">
        <v>20811.599999999999</v>
      </c>
      <c r="AA251" s="89">
        <v>3.169</v>
      </c>
      <c r="AB251" s="89">
        <v>4.95</v>
      </c>
      <c r="AC251" s="90">
        <v>88.126999999999995</v>
      </c>
      <c r="AD251" s="90">
        <v>4.173</v>
      </c>
      <c r="AE251" s="91">
        <v>24.60584454</v>
      </c>
      <c r="AF251" s="91">
        <v>61.924999999999997</v>
      </c>
    </row>
    <row r="252" spans="1:32" s="46" customFormat="1" hidden="1" x14ac:dyDescent="0.35">
      <c r="A252" s="68" t="s">
        <v>54</v>
      </c>
      <c r="B252" s="46" t="s">
        <v>55</v>
      </c>
      <c r="C252" s="46">
        <v>2025</v>
      </c>
      <c r="D252" s="46" t="s">
        <v>141</v>
      </c>
      <c r="E252" s="46" t="s">
        <v>21</v>
      </c>
      <c r="F252" s="69" t="s">
        <v>5</v>
      </c>
      <c r="G252" s="80">
        <v>8268.3860795216133</v>
      </c>
      <c r="H252" s="80">
        <v>14427.041527197151</v>
      </c>
      <c r="I252" s="80">
        <v>20785.135765157665</v>
      </c>
      <c r="J252" s="80">
        <v>26854.666593252085</v>
      </c>
      <c r="K252" s="80">
        <v>45700.584086716488</v>
      </c>
      <c r="L252" s="18">
        <v>4</v>
      </c>
      <c r="M252" s="65">
        <v>1.5</v>
      </c>
      <c r="N252" s="79">
        <v>8268.3860795216133</v>
      </c>
      <c r="O252" s="79">
        <v>9618.0276847981004</v>
      </c>
      <c r="P252" s="79">
        <v>13856.757176771776</v>
      </c>
      <c r="Q252" s="79">
        <v>17903.111062168056</v>
      </c>
      <c r="R252" s="79">
        <v>30467.056057810991</v>
      </c>
      <c r="S252" s="73">
        <v>17903.111062168056</v>
      </c>
      <c r="T252" s="46" t="s">
        <v>68</v>
      </c>
      <c r="V252" s="110"/>
      <c r="W252" s="103"/>
      <c r="X252" s="92"/>
      <c r="Y252" s="92"/>
      <c r="AA252" s="89">
        <v>5.12</v>
      </c>
      <c r="AB252" s="89">
        <v>2.2000000000000002</v>
      </c>
      <c r="AC252" s="90" t="s">
        <v>147</v>
      </c>
      <c r="AD252" s="90" t="s">
        <v>147</v>
      </c>
      <c r="AE252" s="91">
        <v>25.09689912</v>
      </c>
      <c r="AF252" s="91">
        <v>61.825000000000003</v>
      </c>
    </row>
    <row r="253" spans="1:32" hidden="1" x14ac:dyDescent="0.35">
      <c r="A253" s="23" t="s">
        <v>54</v>
      </c>
      <c r="B253" t="s">
        <v>55</v>
      </c>
      <c r="C253">
        <v>2024</v>
      </c>
      <c r="D253" t="s">
        <v>60</v>
      </c>
      <c r="E253" t="s">
        <v>62</v>
      </c>
      <c r="F253" s="9" t="s">
        <v>5</v>
      </c>
      <c r="G253" s="81">
        <v>7347.9832537499988</v>
      </c>
      <c r="H253" s="81">
        <v>23812.044915318758</v>
      </c>
      <c r="I253" s="81">
        <v>12810.484965484513</v>
      </c>
      <c r="J253" s="81">
        <v>18397.425876512621</v>
      </c>
      <c r="K253" s="81">
        <v>30007.858112260281</v>
      </c>
      <c r="L253" s="18">
        <v>4</v>
      </c>
      <c r="M253" s="19">
        <v>1.5</v>
      </c>
      <c r="N253" s="40">
        <v>7347.9832537499988</v>
      </c>
      <c r="O253" s="40">
        <v>15874.696610212506</v>
      </c>
      <c r="P253" s="40">
        <v>8540.3233103230086</v>
      </c>
      <c r="Q253" s="40">
        <v>12264.950584341748</v>
      </c>
      <c r="R253" s="40">
        <v>20005.238741506855</v>
      </c>
      <c r="S253" s="42">
        <v>15874.696610212506</v>
      </c>
      <c r="T253" t="s">
        <v>68</v>
      </c>
      <c r="AA253" s="89"/>
      <c r="AB253" s="89"/>
      <c r="AC253" s="90"/>
      <c r="AD253" s="90"/>
      <c r="AE253" s="91"/>
      <c r="AF253" s="91"/>
    </row>
    <row r="254" spans="1:32" hidden="1" x14ac:dyDescent="0.35">
      <c r="A254" s="23" t="s">
        <v>54</v>
      </c>
      <c r="B254" t="s">
        <v>55</v>
      </c>
      <c r="C254">
        <v>2024</v>
      </c>
      <c r="D254" t="s">
        <v>60</v>
      </c>
      <c r="E254" t="s">
        <v>62</v>
      </c>
      <c r="F254" s="10" t="s">
        <v>6</v>
      </c>
      <c r="G254" s="81">
        <v>4082.1938537499991</v>
      </c>
      <c r="H254" s="81">
        <v>13726.25436741876</v>
      </c>
      <c r="I254" s="81">
        <v>7107.7689791707635</v>
      </c>
      <c r="J254" s="81">
        <v>10464.234491794941</v>
      </c>
      <c r="K254" s="81">
        <v>16930.233610829961</v>
      </c>
      <c r="L254" s="18">
        <v>4</v>
      </c>
      <c r="M254" s="19">
        <v>1.5</v>
      </c>
      <c r="N254" s="40">
        <v>7347.9832537499988</v>
      </c>
      <c r="O254" s="40">
        <v>15874.696610212506</v>
      </c>
      <c r="P254" s="40">
        <v>8540.3233103230086</v>
      </c>
      <c r="Q254" s="40">
        <v>12264.950584341748</v>
      </c>
      <c r="R254" s="40">
        <v>20005.238741506855</v>
      </c>
      <c r="S254" s="42">
        <v>15874.696610212506</v>
      </c>
      <c r="T254" t="s">
        <v>68</v>
      </c>
      <c r="AA254" s="89"/>
      <c r="AB254" s="89"/>
      <c r="AC254" s="90"/>
      <c r="AD254" s="90"/>
      <c r="AE254" s="91"/>
      <c r="AF254" s="91"/>
    </row>
    <row r="255" spans="1:32" hidden="1" x14ac:dyDescent="0.35">
      <c r="A255" s="23" t="s">
        <v>54</v>
      </c>
      <c r="B255" t="s">
        <v>55</v>
      </c>
      <c r="C255">
        <v>2024</v>
      </c>
      <c r="D255" t="s">
        <v>60</v>
      </c>
      <c r="E255" t="s">
        <v>62</v>
      </c>
      <c r="F255" s="10" t="s">
        <v>7</v>
      </c>
      <c r="G255" s="81">
        <v>1305.02973</v>
      </c>
      <c r="H255" s="81">
        <v>3823.7371089000003</v>
      </c>
      <c r="I255" s="81">
        <v>2221.3237291762498</v>
      </c>
      <c r="J255" s="81">
        <v>3040.7923525648798</v>
      </c>
      <c r="K255" s="81">
        <v>5422.3599754922197</v>
      </c>
      <c r="L255" s="18">
        <v>4</v>
      </c>
      <c r="M255" s="19">
        <v>1.5</v>
      </c>
      <c r="N255" s="40">
        <v>7347.9832537499988</v>
      </c>
      <c r="O255" s="40">
        <v>15874.696610212506</v>
      </c>
      <c r="P255" s="40">
        <v>8540.3233103230086</v>
      </c>
      <c r="Q255" s="40">
        <v>12264.950584341748</v>
      </c>
      <c r="R255" s="40">
        <v>20005.238741506855</v>
      </c>
      <c r="S255" s="42">
        <v>15874.696610212506</v>
      </c>
      <c r="T255" t="s">
        <v>68</v>
      </c>
      <c r="AA255" s="89"/>
      <c r="AB255" s="89"/>
      <c r="AC255" s="90"/>
      <c r="AD255" s="90"/>
      <c r="AE255" s="91"/>
      <c r="AF255" s="91"/>
    </row>
    <row r="256" spans="1:32" hidden="1" x14ac:dyDescent="0.35">
      <c r="A256" s="23" t="s">
        <v>54</v>
      </c>
      <c r="B256" t="s">
        <v>55</v>
      </c>
      <c r="C256">
        <v>2024</v>
      </c>
      <c r="D256" t="s">
        <v>60</v>
      </c>
      <c r="E256" t="s">
        <v>62</v>
      </c>
      <c r="F256" s="3" t="s">
        <v>8</v>
      </c>
      <c r="G256" s="81">
        <v>483.20337000000001</v>
      </c>
      <c r="H256" s="81">
        <v>1932.81348</v>
      </c>
      <c r="I256" s="81">
        <v>966.40674000000001</v>
      </c>
      <c r="J256" s="81">
        <v>1449.6101100000001</v>
      </c>
      <c r="K256" s="81">
        <v>2416.01685</v>
      </c>
      <c r="L256" s="18">
        <v>4</v>
      </c>
      <c r="M256" s="19">
        <v>1.5</v>
      </c>
      <c r="N256" s="40">
        <v>7347.9832537499988</v>
      </c>
      <c r="O256" s="40">
        <v>15874.696610212506</v>
      </c>
      <c r="P256" s="40">
        <v>8540.3233103230086</v>
      </c>
      <c r="Q256" s="40">
        <v>12264.950584341748</v>
      </c>
      <c r="R256" s="40">
        <v>20005.238741506855</v>
      </c>
      <c r="S256" s="42">
        <v>15874.696610212506</v>
      </c>
      <c r="T256" t="s">
        <v>68</v>
      </c>
      <c r="AA256" s="89"/>
      <c r="AB256" s="89"/>
      <c r="AC256" s="90"/>
      <c r="AD256" s="90"/>
      <c r="AE256" s="91"/>
      <c r="AF256" s="91"/>
    </row>
    <row r="257" spans="1:32" hidden="1" x14ac:dyDescent="0.35">
      <c r="A257" s="23" t="s">
        <v>54</v>
      </c>
      <c r="B257" t="s">
        <v>55</v>
      </c>
      <c r="C257">
        <v>2024</v>
      </c>
      <c r="D257" t="s">
        <v>60</v>
      </c>
      <c r="E257" t="s">
        <v>62</v>
      </c>
      <c r="F257" s="3" t="s">
        <v>9</v>
      </c>
      <c r="G257" s="81">
        <v>1477.5563</v>
      </c>
      <c r="H257" s="81">
        <v>4329.2399590000005</v>
      </c>
      <c r="I257" s="81">
        <v>2514.9855171375002</v>
      </c>
      <c r="J257" s="81">
        <v>3442.7889221527998</v>
      </c>
      <c r="K257" s="81">
        <v>5239.2476759380997</v>
      </c>
      <c r="L257" s="18">
        <v>4</v>
      </c>
      <c r="M257" s="19">
        <v>1.5</v>
      </c>
      <c r="N257" s="40">
        <v>7347.9832537499988</v>
      </c>
      <c r="O257" s="40">
        <v>15874.696610212506</v>
      </c>
      <c r="P257" s="40">
        <v>8540.3233103230086</v>
      </c>
      <c r="Q257" s="40">
        <v>12264.950584341748</v>
      </c>
      <c r="R257" s="40">
        <v>20005.238741506855</v>
      </c>
      <c r="S257" s="42">
        <v>15874.696610212506</v>
      </c>
      <c r="T257" t="s">
        <v>68</v>
      </c>
      <c r="AA257" s="89"/>
      <c r="AB257" s="89"/>
      <c r="AC257" s="90"/>
      <c r="AD257" s="90"/>
      <c r="AE257" s="91"/>
      <c r="AF257" s="91"/>
    </row>
    <row r="258" spans="1:32" s="46" customFormat="1" hidden="1" x14ac:dyDescent="0.35">
      <c r="A258" s="68" t="s">
        <v>54</v>
      </c>
      <c r="B258" s="46" t="s">
        <v>55</v>
      </c>
      <c r="C258" s="46">
        <v>2025</v>
      </c>
      <c r="D258" s="46" t="s">
        <v>141</v>
      </c>
      <c r="E258" s="46" t="s">
        <v>62</v>
      </c>
      <c r="F258" s="69" t="s">
        <v>5</v>
      </c>
      <c r="G258" s="80">
        <v>7323.6299378232843</v>
      </c>
      <c r="H258" s="80">
        <v>23733.124995027989</v>
      </c>
      <c r="I258" s="80">
        <v>12768.027358170335</v>
      </c>
      <c r="J258" s="80">
        <v>18336.451550750466</v>
      </c>
      <c r="K258" s="80">
        <v>29908.403496802504</v>
      </c>
      <c r="L258" s="18">
        <v>4</v>
      </c>
      <c r="M258" s="65">
        <v>1.5</v>
      </c>
      <c r="N258" s="79">
        <v>7323.6299378232843</v>
      </c>
      <c r="O258" s="79">
        <v>15822.083330018659</v>
      </c>
      <c r="P258" s="79">
        <v>8512.0182387802233</v>
      </c>
      <c r="Q258" s="79">
        <v>12224.301033833644</v>
      </c>
      <c r="R258" s="79">
        <v>19938.935664535002</v>
      </c>
      <c r="S258" s="73">
        <v>12224.301033833644</v>
      </c>
      <c r="T258" s="46" t="s">
        <v>68</v>
      </c>
      <c r="V258" s="110"/>
      <c r="W258" s="103"/>
      <c r="X258" s="92"/>
      <c r="Y258" s="92"/>
      <c r="AA258" s="89"/>
      <c r="AB258" s="89"/>
      <c r="AC258" s="90"/>
      <c r="AD258" s="90"/>
      <c r="AE258" s="91"/>
      <c r="AF258" s="91"/>
    </row>
    <row r="259" spans="1:32" hidden="1" x14ac:dyDescent="0.35">
      <c r="A259" s="23" t="s">
        <v>54</v>
      </c>
      <c r="B259" t="s">
        <v>55</v>
      </c>
      <c r="C259">
        <v>2024</v>
      </c>
      <c r="D259" t="s">
        <v>60</v>
      </c>
      <c r="E259" t="s">
        <v>63</v>
      </c>
      <c r="F259" s="9" t="s">
        <v>5</v>
      </c>
      <c r="G259" s="81">
        <v>7484.3272012500001</v>
      </c>
      <c r="H259" s="81">
        <v>24409.135348070329</v>
      </c>
      <c r="I259" s="81">
        <v>16614.232222571263</v>
      </c>
      <c r="J259" s="81">
        <v>18936.866643910926</v>
      </c>
      <c r="K259" s="81">
        <v>29835.055321380729</v>
      </c>
      <c r="L259" s="18">
        <v>4</v>
      </c>
      <c r="M259" s="19">
        <v>1.5</v>
      </c>
      <c r="N259" s="40">
        <v>7484.3272012500001</v>
      </c>
      <c r="O259" s="40">
        <v>16272.756898713553</v>
      </c>
      <c r="P259" s="40">
        <v>11076.154815047508</v>
      </c>
      <c r="Q259" s="40">
        <v>12624.577762607283</v>
      </c>
      <c r="R259" s="40">
        <v>19890.036880920485</v>
      </c>
      <c r="S259" s="42">
        <v>16272.756898713553</v>
      </c>
      <c r="T259" t="s">
        <v>68</v>
      </c>
      <c r="AA259" s="89"/>
      <c r="AB259" s="89"/>
      <c r="AC259" s="90"/>
      <c r="AD259" s="90"/>
      <c r="AE259" s="91"/>
      <c r="AF259" s="91"/>
    </row>
    <row r="260" spans="1:32" hidden="1" x14ac:dyDescent="0.35">
      <c r="A260" s="23" t="s">
        <v>54</v>
      </c>
      <c r="B260" t="s">
        <v>55</v>
      </c>
      <c r="C260">
        <v>2024</v>
      </c>
      <c r="D260" t="s">
        <v>60</v>
      </c>
      <c r="E260" t="s">
        <v>63</v>
      </c>
      <c r="F260" s="10" t="s">
        <v>6</v>
      </c>
      <c r="G260" s="81">
        <v>4006.2824312499997</v>
      </c>
      <c r="H260" s="81">
        <v>13602.83922257033</v>
      </c>
      <c r="I260" s="81">
        <v>6962.9909785962618</v>
      </c>
      <c r="J260" s="81">
        <v>10447.374997527324</v>
      </c>
      <c r="K260" s="81">
        <v>16615.14695749748</v>
      </c>
      <c r="L260" s="18">
        <v>4</v>
      </c>
      <c r="M260" s="19">
        <v>1.5</v>
      </c>
      <c r="N260" s="40">
        <v>7484.3272012500001</v>
      </c>
      <c r="O260" s="40">
        <v>16272.756898713553</v>
      </c>
      <c r="P260" s="40">
        <v>11076.154815047508</v>
      </c>
      <c r="Q260" s="40">
        <v>12624.577762607283</v>
      </c>
      <c r="R260" s="40">
        <v>19890.036880920485</v>
      </c>
      <c r="S260" s="42">
        <v>16272.756898713553</v>
      </c>
      <c r="T260" t="s">
        <v>68</v>
      </c>
      <c r="AA260" s="89"/>
      <c r="AB260" s="89"/>
      <c r="AC260" s="90"/>
      <c r="AD260" s="90"/>
      <c r="AE260" s="91"/>
      <c r="AF260" s="91"/>
    </row>
    <row r="261" spans="1:32" hidden="1" x14ac:dyDescent="0.35">
      <c r="A261" s="23" t="s">
        <v>54</v>
      </c>
      <c r="B261" t="s">
        <v>55</v>
      </c>
      <c r="C261">
        <v>2024</v>
      </c>
      <c r="D261" t="s">
        <v>60</v>
      </c>
      <c r="E261" t="s">
        <v>63</v>
      </c>
      <c r="F261" s="10" t="s">
        <v>7</v>
      </c>
      <c r="G261" s="81">
        <v>1499.85905</v>
      </c>
      <c r="H261" s="81">
        <v>4394.5870165000006</v>
      </c>
      <c r="I261" s="81">
        <v>4392.3372279250007</v>
      </c>
      <c r="J261" s="81">
        <v>3494.7555786067996</v>
      </c>
      <c r="K261" s="81">
        <v>5344.44025356975</v>
      </c>
      <c r="L261" s="18">
        <v>4</v>
      </c>
      <c r="M261" s="19">
        <v>1.5</v>
      </c>
      <c r="N261" s="40">
        <v>7484.3272012500001</v>
      </c>
      <c r="O261" s="40">
        <v>16272.756898713553</v>
      </c>
      <c r="P261" s="40">
        <v>11076.154815047508</v>
      </c>
      <c r="Q261" s="40">
        <v>12624.577762607283</v>
      </c>
      <c r="R261" s="40">
        <v>19890.036880920485</v>
      </c>
      <c r="S261" s="42">
        <v>16272.756898713553</v>
      </c>
      <c r="T261" t="s">
        <v>68</v>
      </c>
      <c r="AA261" s="89"/>
      <c r="AB261" s="89"/>
      <c r="AC261" s="90"/>
      <c r="AD261" s="90"/>
      <c r="AE261" s="91"/>
      <c r="AF261" s="91"/>
    </row>
    <row r="262" spans="1:32" hidden="1" x14ac:dyDescent="0.35">
      <c r="A262" s="23" t="s">
        <v>54</v>
      </c>
      <c r="B262" t="s">
        <v>55</v>
      </c>
      <c r="C262">
        <v>2024</v>
      </c>
      <c r="D262" t="s">
        <v>60</v>
      </c>
      <c r="E262" t="s">
        <v>63</v>
      </c>
      <c r="F262" s="3" t="s">
        <v>8</v>
      </c>
      <c r="G262" s="81">
        <v>575.35041999999999</v>
      </c>
      <c r="H262" s="81">
        <v>2301.4016799999999</v>
      </c>
      <c r="I262" s="81">
        <v>1150.70084</v>
      </c>
      <c r="J262" s="81">
        <v>1726.05126</v>
      </c>
      <c r="K262" s="81">
        <v>2876.7520999999997</v>
      </c>
      <c r="L262" s="18">
        <v>4</v>
      </c>
      <c r="M262" s="19">
        <v>1.5</v>
      </c>
      <c r="N262" s="40">
        <v>7484.3272012500001</v>
      </c>
      <c r="O262" s="40">
        <v>16272.756898713553</v>
      </c>
      <c r="P262" s="40">
        <v>11076.154815047508</v>
      </c>
      <c r="Q262" s="40">
        <v>12624.577762607283</v>
      </c>
      <c r="R262" s="40">
        <v>19890.036880920485</v>
      </c>
      <c r="S262" s="42">
        <v>16272.756898713553</v>
      </c>
      <c r="T262" t="s">
        <v>68</v>
      </c>
      <c r="AA262" s="89"/>
      <c r="AB262" s="89"/>
      <c r="AC262" s="90"/>
      <c r="AD262" s="90"/>
      <c r="AE262" s="91"/>
      <c r="AF262" s="91"/>
    </row>
    <row r="263" spans="1:32" hidden="1" x14ac:dyDescent="0.35">
      <c r="A263" s="23" t="s">
        <v>54</v>
      </c>
      <c r="B263" t="s">
        <v>55</v>
      </c>
      <c r="C263">
        <v>2024</v>
      </c>
      <c r="D263" t="s">
        <v>60</v>
      </c>
      <c r="E263" t="s">
        <v>63</v>
      </c>
      <c r="F263" s="3" t="s">
        <v>9</v>
      </c>
      <c r="G263" s="81">
        <v>1402.8353</v>
      </c>
      <c r="H263" s="81">
        <v>4110.3074290000004</v>
      </c>
      <c r="I263" s="81">
        <v>4108.2031760500004</v>
      </c>
      <c r="J263" s="81">
        <v>3268.6848077768</v>
      </c>
      <c r="K263" s="81">
        <v>4998.7160103135002</v>
      </c>
      <c r="L263" s="18">
        <v>4</v>
      </c>
      <c r="M263" s="19">
        <v>1.5</v>
      </c>
      <c r="N263" s="40">
        <v>7484.3272012500001</v>
      </c>
      <c r="O263" s="40">
        <v>16272.756898713553</v>
      </c>
      <c r="P263" s="40">
        <v>11076.154815047508</v>
      </c>
      <c r="Q263" s="40">
        <v>12624.577762607283</v>
      </c>
      <c r="R263" s="40">
        <v>19890.036880920485</v>
      </c>
      <c r="S263" s="42">
        <v>16272.756898713553</v>
      </c>
      <c r="T263" t="s">
        <v>68</v>
      </c>
      <c r="AA263" s="89"/>
      <c r="AB263" s="89"/>
      <c r="AC263" s="90"/>
      <c r="AD263" s="90"/>
      <c r="AE263" s="91"/>
      <c r="AF263" s="91"/>
    </row>
    <row r="264" spans="1:32" s="46" customFormat="1" hidden="1" x14ac:dyDescent="0.35">
      <c r="A264" s="68" t="s">
        <v>54</v>
      </c>
      <c r="B264" s="46" t="s">
        <v>55</v>
      </c>
      <c r="C264" s="46">
        <v>2025</v>
      </c>
      <c r="D264" s="46" t="s">
        <v>141</v>
      </c>
      <c r="E264" s="46" t="s">
        <v>63</v>
      </c>
      <c r="F264" s="69" t="s">
        <v>5</v>
      </c>
      <c r="G264" s="80">
        <v>7585.2408796801874</v>
      </c>
      <c r="H264" s="80">
        <v>24738.251856346811</v>
      </c>
      <c r="I264" s="80">
        <v>16838.247453705597</v>
      </c>
      <c r="J264" s="80">
        <v>19192.198729159656</v>
      </c>
      <c r="K264" s="80">
        <v>30237.331317297343</v>
      </c>
      <c r="L264" s="18">
        <v>4</v>
      </c>
      <c r="M264" s="65">
        <v>1.5</v>
      </c>
      <c r="N264" s="79">
        <v>7585.2408796801874</v>
      </c>
      <c r="O264" s="79">
        <v>16492.167904231206</v>
      </c>
      <c r="P264" s="79">
        <v>11225.498302470398</v>
      </c>
      <c r="Q264" s="79">
        <v>12794.799152773105</v>
      </c>
      <c r="R264" s="79">
        <v>20158.22087819823</v>
      </c>
      <c r="S264" s="73">
        <v>12794.799152773105</v>
      </c>
      <c r="T264" s="46" t="s">
        <v>68</v>
      </c>
      <c r="V264" s="110"/>
      <c r="W264" s="103"/>
      <c r="X264" s="92"/>
      <c r="Y264" s="92"/>
      <c r="AA264" s="89"/>
      <c r="AB264" s="89"/>
      <c r="AC264" s="90"/>
      <c r="AD264" s="90"/>
      <c r="AE264" s="91"/>
      <c r="AF264" s="91"/>
    </row>
    <row r="265" spans="1:32" hidden="1" x14ac:dyDescent="0.35">
      <c r="A265" s="23" t="s">
        <v>54</v>
      </c>
      <c r="B265" t="s">
        <v>55</v>
      </c>
      <c r="C265">
        <v>2024</v>
      </c>
      <c r="D265" t="s">
        <v>60</v>
      </c>
      <c r="E265" t="s">
        <v>64</v>
      </c>
      <c r="F265" s="9" t="s">
        <v>5</v>
      </c>
      <c r="G265" s="81">
        <v>10860.182370833334</v>
      </c>
      <c r="H265" s="81">
        <v>35615.595061865737</v>
      </c>
      <c r="I265" s="81">
        <v>19086.46300488741</v>
      </c>
      <c r="J265" s="81">
        <v>27677.396010759705</v>
      </c>
      <c r="K265" s="81">
        <v>43634.720905555121</v>
      </c>
      <c r="L265" s="18">
        <v>4</v>
      </c>
      <c r="M265" s="19">
        <v>1.5</v>
      </c>
      <c r="N265" s="40">
        <v>10860.182370833334</v>
      </c>
      <c r="O265" s="40">
        <v>23743.730041243824</v>
      </c>
      <c r="P265" s="40">
        <v>12724.30866992494</v>
      </c>
      <c r="Q265" s="40">
        <v>18451.597340506469</v>
      </c>
      <c r="R265" s="40">
        <v>29089.813937036746</v>
      </c>
      <c r="S265" s="42">
        <v>23743.730041243824</v>
      </c>
      <c r="T265" t="s">
        <v>68</v>
      </c>
      <c r="AA265" s="89"/>
      <c r="AB265" s="89"/>
      <c r="AC265" s="90"/>
      <c r="AD265" s="90"/>
      <c r="AE265" s="91"/>
      <c r="AF265" s="91"/>
    </row>
    <row r="266" spans="1:32" hidden="1" x14ac:dyDescent="0.35">
      <c r="A266" s="23" t="s">
        <v>54</v>
      </c>
      <c r="B266" t="s">
        <v>55</v>
      </c>
      <c r="C266">
        <v>2024</v>
      </c>
      <c r="D266" t="s">
        <v>60</v>
      </c>
      <c r="E266" t="s">
        <v>64</v>
      </c>
      <c r="F266" s="10" t="s">
        <v>6</v>
      </c>
      <c r="G266" s="81">
        <v>4426.889420833334</v>
      </c>
      <c r="H266" s="81">
        <v>15186.696490865739</v>
      </c>
      <c r="I266" s="81">
        <v>7671.9144654291094</v>
      </c>
      <c r="J266" s="81">
        <v>11601.801437874905</v>
      </c>
      <c r="K266" s="81">
        <v>18460.111177317322</v>
      </c>
      <c r="L266" s="18">
        <v>4</v>
      </c>
      <c r="M266" s="19">
        <v>1.5</v>
      </c>
      <c r="N266" s="40">
        <v>10860.182370833334</v>
      </c>
      <c r="O266" s="40">
        <v>23743.730041243824</v>
      </c>
      <c r="P266" s="40">
        <v>12724.30866992494</v>
      </c>
      <c r="Q266" s="40">
        <v>18451.597340506469</v>
      </c>
      <c r="R266" s="40">
        <v>29089.813937036746</v>
      </c>
      <c r="S266" s="42">
        <v>23743.730041243824</v>
      </c>
      <c r="T266" t="s">
        <v>68</v>
      </c>
      <c r="AA266" s="89"/>
      <c r="AB266" s="89"/>
      <c r="AC266" s="90"/>
      <c r="AD266" s="90"/>
      <c r="AE266" s="91"/>
      <c r="AF266" s="91"/>
    </row>
    <row r="267" spans="1:32" hidden="1" x14ac:dyDescent="0.35">
      <c r="A267" s="23" t="s">
        <v>54</v>
      </c>
      <c r="B267" t="s">
        <v>55</v>
      </c>
      <c r="C267">
        <v>2024</v>
      </c>
      <c r="D267" t="s">
        <v>60</v>
      </c>
      <c r="E267" t="s">
        <v>64</v>
      </c>
      <c r="F267" s="10" t="s">
        <v>7</v>
      </c>
      <c r="G267" s="81">
        <v>1728.2626999999998</v>
      </c>
      <c r="H267" s="81">
        <v>5063.8097109999999</v>
      </c>
      <c r="I267" s="81">
        <v>2950.2982442803</v>
      </c>
      <c r="J267" s="81">
        <v>4060.6983877168</v>
      </c>
      <c r="K267" s="81">
        <v>6203.7268530898</v>
      </c>
      <c r="L267" s="18">
        <v>4</v>
      </c>
      <c r="M267" s="19">
        <v>1.5</v>
      </c>
      <c r="N267" s="40">
        <v>10860.182370833334</v>
      </c>
      <c r="O267" s="40">
        <v>23743.730041243824</v>
      </c>
      <c r="P267" s="40">
        <v>12724.30866992494</v>
      </c>
      <c r="Q267" s="40">
        <v>18451.597340506469</v>
      </c>
      <c r="R267" s="40">
        <v>29089.813937036746</v>
      </c>
      <c r="S267" s="42">
        <v>23743.730041243824</v>
      </c>
      <c r="T267" t="s">
        <v>68</v>
      </c>
      <c r="AA267" s="89"/>
      <c r="AB267" s="89"/>
      <c r="AC267" s="90"/>
      <c r="AD267" s="90"/>
      <c r="AE267" s="91"/>
      <c r="AF267" s="91"/>
    </row>
    <row r="268" spans="1:32" hidden="1" x14ac:dyDescent="0.35">
      <c r="A268" s="23" t="s">
        <v>54</v>
      </c>
      <c r="B268" t="s">
        <v>55</v>
      </c>
      <c r="C268">
        <v>2024</v>
      </c>
      <c r="D268" t="s">
        <v>60</v>
      </c>
      <c r="E268" t="s">
        <v>64</v>
      </c>
      <c r="F268" s="3" t="s">
        <v>8</v>
      </c>
      <c r="G268" s="81">
        <v>1476.0282499999998</v>
      </c>
      <c r="H268" s="81">
        <v>5904.1129999999994</v>
      </c>
      <c r="I268" s="81">
        <v>2952.0564999999997</v>
      </c>
      <c r="J268" s="81">
        <v>4428.08475</v>
      </c>
      <c r="K268" s="81">
        <v>7380.1412499999988</v>
      </c>
      <c r="L268" s="18">
        <v>4</v>
      </c>
      <c r="M268" s="19">
        <v>1.5</v>
      </c>
      <c r="N268" s="40">
        <v>10860.182370833334</v>
      </c>
      <c r="O268" s="40">
        <v>23743.730041243824</v>
      </c>
      <c r="P268" s="40">
        <v>12724.30866992494</v>
      </c>
      <c r="Q268" s="40">
        <v>18451.597340506469</v>
      </c>
      <c r="R268" s="40">
        <v>29089.813937036746</v>
      </c>
      <c r="S268" s="42">
        <v>23743.730041243824</v>
      </c>
      <c r="T268" t="s">
        <v>68</v>
      </c>
      <c r="AA268" s="89"/>
      <c r="AB268" s="89"/>
      <c r="AC268" s="90"/>
      <c r="AD268" s="90"/>
      <c r="AE268" s="91"/>
      <c r="AF268" s="91"/>
    </row>
    <row r="269" spans="1:32" hidden="1" x14ac:dyDescent="0.35">
      <c r="A269" s="23" t="s">
        <v>54</v>
      </c>
      <c r="B269" t="s">
        <v>55</v>
      </c>
      <c r="C269">
        <v>2024</v>
      </c>
      <c r="D269" t="s">
        <v>60</v>
      </c>
      <c r="E269" t="s">
        <v>64</v>
      </c>
      <c r="F269" s="3" t="s">
        <v>9</v>
      </c>
      <c r="G269" s="81">
        <v>3229.002</v>
      </c>
      <c r="H269" s="81">
        <v>9460.9758600000005</v>
      </c>
      <c r="I269" s="81">
        <v>5512.1937951780001</v>
      </c>
      <c r="J269" s="81">
        <v>7586.8114351680006</v>
      </c>
      <c r="K269" s="81">
        <v>11590.741625147999</v>
      </c>
      <c r="L269" s="18">
        <v>4</v>
      </c>
      <c r="M269" s="19">
        <v>1.5</v>
      </c>
      <c r="N269" s="40">
        <v>10860.182370833334</v>
      </c>
      <c r="O269" s="40">
        <v>23743.730041243824</v>
      </c>
      <c r="P269" s="40">
        <v>12724.30866992494</v>
      </c>
      <c r="Q269" s="40">
        <v>18451.597340506469</v>
      </c>
      <c r="R269" s="40">
        <v>29089.813937036746</v>
      </c>
      <c r="S269" s="42">
        <v>23743.730041243824</v>
      </c>
      <c r="T269" t="s">
        <v>68</v>
      </c>
      <c r="AA269" s="89"/>
      <c r="AB269" s="89"/>
      <c r="AC269" s="90"/>
      <c r="AD269" s="90"/>
      <c r="AE269" s="91"/>
      <c r="AF269" s="91"/>
    </row>
    <row r="270" spans="1:32" s="46" customFormat="1" hidden="1" x14ac:dyDescent="0.35">
      <c r="A270" s="68" t="s">
        <v>54</v>
      </c>
      <c r="B270" s="46" t="s">
        <v>55</v>
      </c>
      <c r="C270" s="46">
        <v>2025</v>
      </c>
      <c r="D270" s="46" t="s">
        <v>141</v>
      </c>
      <c r="E270" s="46" t="s">
        <v>64</v>
      </c>
      <c r="F270" s="69" t="s">
        <v>5</v>
      </c>
      <c r="G270" s="80">
        <v>11252.234954420417</v>
      </c>
      <c r="H270" s="80">
        <v>36901.318043599094</v>
      </c>
      <c r="I270" s="80">
        <v>19775.484319363844</v>
      </c>
      <c r="J270" s="80">
        <v>28676.55000674813</v>
      </c>
      <c r="K270" s="80">
        <v>45209.934330245662</v>
      </c>
      <c r="L270" s="18">
        <v>4</v>
      </c>
      <c r="M270" s="65">
        <v>1.5</v>
      </c>
      <c r="N270" s="79">
        <v>11252.234954420417</v>
      </c>
      <c r="O270" s="79">
        <v>24600.878695732728</v>
      </c>
      <c r="P270" s="79">
        <v>13183.656212909229</v>
      </c>
      <c r="Q270" s="79">
        <v>19117.700004498754</v>
      </c>
      <c r="R270" s="79">
        <v>30139.956220163775</v>
      </c>
      <c r="S270" s="73">
        <v>19117.700004498754</v>
      </c>
      <c r="T270" s="46" t="s">
        <v>68</v>
      </c>
      <c r="V270" s="110"/>
      <c r="W270" s="103"/>
      <c r="X270" s="92"/>
      <c r="Y270" s="92"/>
      <c r="AA270" s="89"/>
      <c r="AB270" s="89"/>
      <c r="AC270" s="90"/>
      <c r="AD270" s="90"/>
      <c r="AE270" s="91"/>
      <c r="AF270" s="91"/>
    </row>
    <row r="271" spans="1:32" hidden="1" x14ac:dyDescent="0.35">
      <c r="A271" s="23" t="s">
        <v>54</v>
      </c>
      <c r="B271" t="s">
        <v>55</v>
      </c>
      <c r="C271">
        <v>2024</v>
      </c>
      <c r="D271" t="s">
        <v>60</v>
      </c>
      <c r="E271" t="s">
        <v>65</v>
      </c>
      <c r="F271" s="9" t="s">
        <v>5</v>
      </c>
      <c r="G271" s="81">
        <v>10557.133179583334</v>
      </c>
      <c r="H271" s="81">
        <v>34391.100642165249</v>
      </c>
      <c r="I271" s="81">
        <v>18522.679618661925</v>
      </c>
      <c r="J271" s="81">
        <v>26658.951452269714</v>
      </c>
      <c r="K271" s="81">
        <v>42217.568253291938</v>
      </c>
      <c r="L271" s="18">
        <v>4</v>
      </c>
      <c r="M271" s="19">
        <v>1.5</v>
      </c>
      <c r="N271" s="40">
        <v>10557.133179583334</v>
      </c>
      <c r="O271" s="40">
        <v>22927.400428110166</v>
      </c>
      <c r="P271" s="40">
        <v>12348.453079107951</v>
      </c>
      <c r="Q271" s="40">
        <v>17772.634301513142</v>
      </c>
      <c r="R271" s="40">
        <v>28145.045502194625</v>
      </c>
      <c r="S271" s="42">
        <v>22927.400428110166</v>
      </c>
      <c r="T271" t="s">
        <v>68</v>
      </c>
      <c r="AA271" s="89"/>
      <c r="AB271" s="89"/>
      <c r="AC271" s="90"/>
      <c r="AD271" s="90"/>
      <c r="AE271" s="91"/>
      <c r="AF271" s="91"/>
    </row>
    <row r="272" spans="1:32" hidden="1" x14ac:dyDescent="0.35">
      <c r="A272" s="23" t="s">
        <v>54</v>
      </c>
      <c r="B272" t="s">
        <v>55</v>
      </c>
      <c r="C272">
        <v>2024</v>
      </c>
      <c r="D272" t="s">
        <v>60</v>
      </c>
      <c r="E272" t="s">
        <v>65</v>
      </c>
      <c r="F272" s="10" t="s">
        <v>6</v>
      </c>
      <c r="G272" s="81">
        <v>4907.4454095833344</v>
      </c>
      <c r="H272" s="81">
        <v>16883.75185516525</v>
      </c>
      <c r="I272" s="81">
        <v>8654.6971126600238</v>
      </c>
      <c r="J272" s="81">
        <v>12867.380753272417</v>
      </c>
      <c r="K272" s="81">
        <v>20619.32874561254</v>
      </c>
      <c r="L272" s="18">
        <v>4</v>
      </c>
      <c r="M272" s="19">
        <v>1.5</v>
      </c>
      <c r="N272" s="40">
        <v>10557.133179583334</v>
      </c>
      <c r="O272" s="40">
        <v>22927.400428110166</v>
      </c>
      <c r="P272" s="40">
        <v>12348.453079107951</v>
      </c>
      <c r="Q272" s="40">
        <v>17772.634301513142</v>
      </c>
      <c r="R272" s="40">
        <v>28145.045502194625</v>
      </c>
      <c r="S272" s="42">
        <v>22927.400428110166</v>
      </c>
      <c r="T272" t="s">
        <v>68</v>
      </c>
      <c r="AA272" s="89"/>
      <c r="AB272" s="89"/>
      <c r="AC272" s="90"/>
      <c r="AD272" s="90"/>
      <c r="AE272" s="91"/>
      <c r="AF272" s="91"/>
    </row>
    <row r="273" spans="1:32" hidden="1" x14ac:dyDescent="0.35">
      <c r="A273" s="23" t="s">
        <v>54</v>
      </c>
      <c r="B273" t="s">
        <v>55</v>
      </c>
      <c r="C273">
        <v>2024</v>
      </c>
      <c r="D273" t="s">
        <v>60</v>
      </c>
      <c r="E273" t="s">
        <v>65</v>
      </c>
      <c r="F273" s="10" t="s">
        <v>7</v>
      </c>
      <c r="G273" s="81">
        <v>1777.5722000000001</v>
      </c>
      <c r="H273" s="81">
        <v>5208.2865460000003</v>
      </c>
      <c r="I273" s="81">
        <v>3020.4169083682</v>
      </c>
      <c r="J273" s="81">
        <v>4153.1676825293998</v>
      </c>
      <c r="K273" s="81">
        <v>6403.5367587132005</v>
      </c>
      <c r="L273" s="18">
        <v>4</v>
      </c>
      <c r="M273" s="19">
        <v>1.5</v>
      </c>
      <c r="N273" s="40">
        <v>10557.133179583334</v>
      </c>
      <c r="O273" s="40">
        <v>22927.400428110166</v>
      </c>
      <c r="P273" s="40">
        <v>12348.453079107951</v>
      </c>
      <c r="Q273" s="40">
        <v>17772.634301513142</v>
      </c>
      <c r="R273" s="40">
        <v>28145.045502194625</v>
      </c>
      <c r="S273" s="42">
        <v>22927.400428110166</v>
      </c>
      <c r="T273" t="s">
        <v>68</v>
      </c>
      <c r="AA273" s="89"/>
      <c r="AB273" s="89"/>
      <c r="AC273" s="90"/>
      <c r="AD273" s="90"/>
      <c r="AE273" s="91"/>
      <c r="AF273" s="91"/>
    </row>
    <row r="274" spans="1:32" hidden="1" x14ac:dyDescent="0.35">
      <c r="A274" s="23" t="s">
        <v>54</v>
      </c>
      <c r="B274" t="s">
        <v>55</v>
      </c>
      <c r="C274">
        <v>2024</v>
      </c>
      <c r="D274" t="s">
        <v>60</v>
      </c>
      <c r="E274" t="s">
        <v>65</v>
      </c>
      <c r="F274" s="3" t="s">
        <v>8</v>
      </c>
      <c r="G274" s="81">
        <v>891.36787000000004</v>
      </c>
      <c r="H274" s="81">
        <v>3565.4714800000002</v>
      </c>
      <c r="I274" s="81">
        <v>1782.7357400000001</v>
      </c>
      <c r="J274" s="81">
        <v>2674.1036100000001</v>
      </c>
      <c r="K274" s="81">
        <v>4456.8393500000002</v>
      </c>
      <c r="L274" s="18">
        <v>4</v>
      </c>
      <c r="M274" s="19">
        <v>1.5</v>
      </c>
      <c r="N274" s="40">
        <v>10557.133179583334</v>
      </c>
      <c r="O274" s="40">
        <v>22927.400428110166</v>
      </c>
      <c r="P274" s="40">
        <v>12348.453079107951</v>
      </c>
      <c r="Q274" s="40">
        <v>17772.634301513142</v>
      </c>
      <c r="R274" s="40">
        <v>28145.045502194625</v>
      </c>
      <c r="S274" s="42">
        <v>22927.400428110166</v>
      </c>
      <c r="T274" t="s">
        <v>68</v>
      </c>
      <c r="AA274" s="89"/>
      <c r="AB274" s="89"/>
      <c r="AC274" s="90"/>
      <c r="AD274" s="90"/>
      <c r="AE274" s="91"/>
      <c r="AF274" s="91"/>
    </row>
    <row r="275" spans="1:32" hidden="1" x14ac:dyDescent="0.35">
      <c r="A275" s="23" t="s">
        <v>54</v>
      </c>
      <c r="B275" t="s">
        <v>55</v>
      </c>
      <c r="C275">
        <v>2024</v>
      </c>
      <c r="D275" t="s">
        <v>60</v>
      </c>
      <c r="E275" t="s">
        <v>65</v>
      </c>
      <c r="F275" s="3" t="s">
        <v>9</v>
      </c>
      <c r="G275" s="81">
        <v>2980.7476999999999</v>
      </c>
      <c r="H275" s="81">
        <v>8733.5907609999995</v>
      </c>
      <c r="I275" s="81">
        <v>5064.8298576337002</v>
      </c>
      <c r="J275" s="81">
        <v>6964.2994064678996</v>
      </c>
      <c r="K275" s="81">
        <v>10737.863398966199</v>
      </c>
      <c r="L275" s="18">
        <v>4</v>
      </c>
      <c r="M275" s="19">
        <v>1.5</v>
      </c>
      <c r="N275" s="40">
        <v>10557.133179583334</v>
      </c>
      <c r="O275" s="40">
        <v>22927.400428110166</v>
      </c>
      <c r="P275" s="40">
        <v>12348.453079107951</v>
      </c>
      <c r="Q275" s="40">
        <v>17772.634301513142</v>
      </c>
      <c r="R275" s="40">
        <v>28145.045502194625</v>
      </c>
      <c r="S275" s="42">
        <v>22927.400428110166</v>
      </c>
      <c r="T275" t="s">
        <v>68</v>
      </c>
      <c r="AA275" s="89"/>
      <c r="AB275" s="89"/>
      <c r="AC275" s="90"/>
      <c r="AD275" s="90"/>
      <c r="AE275" s="91"/>
      <c r="AF275" s="91"/>
    </row>
    <row r="276" spans="1:32" s="46" customFormat="1" hidden="1" x14ac:dyDescent="0.35">
      <c r="A276" s="68" t="s">
        <v>54</v>
      </c>
      <c r="B276" s="46" t="s">
        <v>55</v>
      </c>
      <c r="C276" s="46">
        <v>2025</v>
      </c>
      <c r="D276" s="46" t="s">
        <v>141</v>
      </c>
      <c r="E276" s="46" t="s">
        <v>65</v>
      </c>
      <c r="F276" s="69" t="s">
        <v>5</v>
      </c>
      <c r="G276" s="80">
        <v>10716.334747931451</v>
      </c>
      <c r="H276" s="80">
        <v>34909.718439849101</v>
      </c>
      <c r="I276" s="80">
        <v>18802.001627311347</v>
      </c>
      <c r="J276" s="80">
        <v>27060.968440169941</v>
      </c>
      <c r="K276" s="80">
        <v>42854.209182551582</v>
      </c>
      <c r="L276" s="18">
        <v>4</v>
      </c>
      <c r="M276" s="65">
        <v>1.5</v>
      </c>
      <c r="N276" s="79">
        <v>10716.334747931451</v>
      </c>
      <c r="O276" s="79">
        <v>23273.145626566067</v>
      </c>
      <c r="P276" s="79">
        <v>12534.667751540897</v>
      </c>
      <c r="Q276" s="79">
        <v>18040.645626779962</v>
      </c>
      <c r="R276" s="79">
        <v>28569.472788367722</v>
      </c>
      <c r="S276" s="73">
        <v>18040.645626779962</v>
      </c>
      <c r="T276" s="46" t="s">
        <v>68</v>
      </c>
      <c r="V276" s="110"/>
      <c r="W276" s="103"/>
      <c r="X276" s="92"/>
      <c r="Y276" s="92"/>
      <c r="AA276" s="89"/>
      <c r="AB276" s="89"/>
      <c r="AC276" s="90"/>
      <c r="AD276" s="90"/>
      <c r="AE276" s="91"/>
      <c r="AF276" s="91"/>
    </row>
    <row r="277" spans="1:32" hidden="1" x14ac:dyDescent="0.35">
      <c r="A277" s="23" t="s">
        <v>54</v>
      </c>
      <c r="B277" t="s">
        <v>55</v>
      </c>
      <c r="C277">
        <v>2024</v>
      </c>
      <c r="D277" t="s">
        <v>60</v>
      </c>
      <c r="E277" t="s">
        <v>66</v>
      </c>
      <c r="F277" s="9" t="s">
        <v>5</v>
      </c>
      <c r="G277" s="81">
        <v>10100.24456375</v>
      </c>
      <c r="H277" s="81">
        <v>32787.121747878191</v>
      </c>
      <c r="I277" s="81">
        <v>17766.255728586919</v>
      </c>
      <c r="J277" s="81">
        <v>25217.300441138952</v>
      </c>
      <c r="K277" s="81">
        <v>40564.879871583558</v>
      </c>
      <c r="L277" s="18">
        <v>4</v>
      </c>
      <c r="M277" s="19">
        <v>1.5</v>
      </c>
      <c r="N277" s="40">
        <v>10100.24456375</v>
      </c>
      <c r="O277" s="40">
        <v>21858.081165252126</v>
      </c>
      <c r="P277" s="40">
        <v>11844.170485724613</v>
      </c>
      <c r="Q277" s="40">
        <v>16811.533627425968</v>
      </c>
      <c r="R277" s="40">
        <v>27043.253247722372</v>
      </c>
      <c r="S277" s="42">
        <v>21858.081165252126</v>
      </c>
      <c r="T277" t="s">
        <v>68</v>
      </c>
      <c r="AA277" s="89"/>
      <c r="AB277" s="89"/>
      <c r="AC277" s="90"/>
      <c r="AD277" s="90"/>
      <c r="AE277" s="91"/>
      <c r="AF277" s="91"/>
    </row>
    <row r="278" spans="1:32" hidden="1" x14ac:dyDescent="0.35">
      <c r="A278" s="23" t="s">
        <v>54</v>
      </c>
      <c r="B278" t="s">
        <v>55</v>
      </c>
      <c r="C278">
        <v>2024</v>
      </c>
      <c r="D278" t="s">
        <v>60</v>
      </c>
      <c r="E278" t="s">
        <v>66</v>
      </c>
      <c r="F278" s="10" t="s">
        <v>6</v>
      </c>
      <c r="G278" s="81">
        <v>5355.89712375</v>
      </c>
      <c r="H278" s="81">
        <v>18074.808462478188</v>
      </c>
      <c r="I278" s="81">
        <v>9499.2780535513612</v>
      </c>
      <c r="J278" s="81">
        <v>13738.62059211895</v>
      </c>
      <c r="K278" s="81">
        <v>22477.264847949584</v>
      </c>
      <c r="L278" s="18">
        <v>4</v>
      </c>
      <c r="M278" s="19">
        <v>1.5</v>
      </c>
      <c r="N278" s="40">
        <v>10100.24456375</v>
      </c>
      <c r="O278" s="40">
        <v>21858.081165252126</v>
      </c>
      <c r="P278" s="40">
        <v>11844.170485724613</v>
      </c>
      <c r="Q278" s="40">
        <v>16811.533627425968</v>
      </c>
      <c r="R278" s="40">
        <v>27043.253247722372</v>
      </c>
      <c r="S278" s="42">
        <v>21858.081165252126</v>
      </c>
      <c r="T278" t="s">
        <v>68</v>
      </c>
      <c r="AA278" s="89"/>
      <c r="AB278" s="89"/>
      <c r="AC278" s="90"/>
      <c r="AD278" s="90"/>
      <c r="AE278" s="91"/>
      <c r="AF278" s="91"/>
    </row>
    <row r="279" spans="1:32" hidden="1" x14ac:dyDescent="0.35">
      <c r="A279" s="23" t="s">
        <v>54</v>
      </c>
      <c r="B279" t="s">
        <v>55</v>
      </c>
      <c r="C279">
        <v>2024</v>
      </c>
      <c r="D279" t="s">
        <v>60</v>
      </c>
      <c r="E279" t="s">
        <v>66</v>
      </c>
      <c r="F279" s="10" t="s">
        <v>7</v>
      </c>
      <c r="G279" s="81">
        <v>1602.3979800000002</v>
      </c>
      <c r="H279" s="81">
        <v>4695.0260814000003</v>
      </c>
      <c r="I279" s="81">
        <v>2713.6641839259601</v>
      </c>
      <c r="J279" s="81">
        <v>3699.9369358200006</v>
      </c>
      <c r="K279" s="81">
        <v>5747.0660535871802</v>
      </c>
      <c r="L279" s="18">
        <v>4</v>
      </c>
      <c r="M279" s="19">
        <v>1.5</v>
      </c>
      <c r="N279" s="40">
        <v>10100.24456375</v>
      </c>
      <c r="O279" s="40">
        <v>21858.081165252126</v>
      </c>
      <c r="P279" s="40">
        <v>11844.170485724613</v>
      </c>
      <c r="Q279" s="40">
        <v>16811.533627425968</v>
      </c>
      <c r="R279" s="40">
        <v>27043.253247722372</v>
      </c>
      <c r="S279" s="42">
        <v>21858.081165252126</v>
      </c>
      <c r="T279" t="s">
        <v>68</v>
      </c>
      <c r="AA279" s="89"/>
      <c r="AB279" s="89"/>
      <c r="AC279" s="90"/>
      <c r="AD279" s="90"/>
      <c r="AE279" s="91"/>
      <c r="AF279" s="91"/>
    </row>
    <row r="280" spans="1:32" hidden="1" x14ac:dyDescent="0.35">
      <c r="A280" s="23" t="s">
        <v>54</v>
      </c>
      <c r="B280" t="s">
        <v>55</v>
      </c>
      <c r="C280">
        <v>2024</v>
      </c>
      <c r="D280" t="s">
        <v>60</v>
      </c>
      <c r="E280" t="s">
        <v>66</v>
      </c>
      <c r="F280" s="3" t="s">
        <v>8</v>
      </c>
      <c r="G280" s="81">
        <v>758.29466000000002</v>
      </c>
      <c r="H280" s="81">
        <v>3033.1786400000001</v>
      </c>
      <c r="I280" s="81">
        <v>1516.58932</v>
      </c>
      <c r="J280" s="81">
        <v>2274.8839800000001</v>
      </c>
      <c r="K280" s="81">
        <v>3791.4733000000001</v>
      </c>
      <c r="L280" s="18">
        <v>4</v>
      </c>
      <c r="M280" s="19">
        <v>1.5</v>
      </c>
      <c r="N280" s="40">
        <v>10100.24456375</v>
      </c>
      <c r="O280" s="40">
        <v>21858.081165252126</v>
      </c>
      <c r="P280" s="40">
        <v>11844.170485724613</v>
      </c>
      <c r="Q280" s="40">
        <v>16811.533627425968</v>
      </c>
      <c r="R280" s="40">
        <v>27043.253247722372</v>
      </c>
      <c r="S280" s="42">
        <v>21858.081165252126</v>
      </c>
      <c r="T280" t="s">
        <v>68</v>
      </c>
      <c r="AA280" s="89"/>
      <c r="AB280" s="89"/>
      <c r="AC280" s="90"/>
      <c r="AD280" s="90"/>
      <c r="AE280" s="91"/>
      <c r="AF280" s="91"/>
    </row>
    <row r="281" spans="1:32" hidden="1" x14ac:dyDescent="0.35">
      <c r="A281" s="23" t="s">
        <v>54</v>
      </c>
      <c r="B281" t="s">
        <v>55</v>
      </c>
      <c r="C281">
        <v>2024</v>
      </c>
      <c r="D281" t="s">
        <v>60</v>
      </c>
      <c r="E281" t="s">
        <v>66</v>
      </c>
      <c r="F281" s="3" t="s">
        <v>9</v>
      </c>
      <c r="G281" s="81">
        <v>2383.6547999999998</v>
      </c>
      <c r="H281" s="81">
        <v>6984.1085640000001</v>
      </c>
      <c r="I281" s="81">
        <v>4036.7241711095999</v>
      </c>
      <c r="J281" s="81">
        <v>5503.8589332000001</v>
      </c>
      <c r="K281" s="81">
        <v>8549.0756700467991</v>
      </c>
      <c r="L281" s="18">
        <v>4</v>
      </c>
      <c r="M281" s="19">
        <v>1.5</v>
      </c>
      <c r="N281" s="40">
        <v>10100.24456375</v>
      </c>
      <c r="O281" s="40">
        <v>21858.081165252126</v>
      </c>
      <c r="P281" s="40">
        <v>11844.170485724613</v>
      </c>
      <c r="Q281" s="40">
        <v>16811.533627425968</v>
      </c>
      <c r="R281" s="40">
        <v>27043.253247722372</v>
      </c>
      <c r="S281" s="42">
        <v>21858.081165252126</v>
      </c>
      <c r="T281" t="s">
        <v>68</v>
      </c>
      <c r="AA281" s="89"/>
      <c r="AB281" s="89"/>
      <c r="AC281" s="90"/>
      <c r="AD281" s="90"/>
      <c r="AE281" s="91"/>
      <c r="AF281" s="91"/>
    </row>
    <row r="282" spans="1:32" s="46" customFormat="1" hidden="1" x14ac:dyDescent="0.35">
      <c r="A282" s="68" t="s">
        <v>54</v>
      </c>
      <c r="B282" s="46" t="s">
        <v>55</v>
      </c>
      <c r="C282" s="46">
        <v>2025</v>
      </c>
      <c r="D282" s="46" t="s">
        <v>141</v>
      </c>
      <c r="E282" s="46" t="s">
        <v>66</v>
      </c>
      <c r="F282" s="69" t="s">
        <v>5</v>
      </c>
      <c r="G282" s="80">
        <v>10130.401008233197</v>
      </c>
      <c r="H282" s="80">
        <v>32885.01472566829</v>
      </c>
      <c r="I282" s="80">
        <v>17819.300692119417</v>
      </c>
      <c r="J282" s="80">
        <v>25292.592095313212</v>
      </c>
      <c r="K282" s="80">
        <v>40685.995012914434</v>
      </c>
      <c r="L282" s="18">
        <v>4</v>
      </c>
      <c r="M282" s="65">
        <v>1.5</v>
      </c>
      <c r="N282" s="79">
        <v>10130.401008233197</v>
      </c>
      <c r="O282" s="79">
        <v>21923.343150445526</v>
      </c>
      <c r="P282" s="79">
        <v>11879.533794746278</v>
      </c>
      <c r="Q282" s="79">
        <v>16861.728063542141</v>
      </c>
      <c r="R282" s="79">
        <v>27123.996675276288</v>
      </c>
      <c r="S282" s="73">
        <v>16861.728063542141</v>
      </c>
      <c r="T282" s="46" t="s">
        <v>68</v>
      </c>
      <c r="V282" s="110"/>
      <c r="W282" s="103"/>
      <c r="X282" s="92"/>
      <c r="Y282" s="92"/>
      <c r="AA282" s="89"/>
      <c r="AB282" s="89"/>
      <c r="AC282" s="90"/>
      <c r="AD282" s="90"/>
      <c r="AE282" s="91"/>
      <c r="AF282" s="91"/>
    </row>
    <row r="283" spans="1:32" hidden="1" x14ac:dyDescent="0.35">
      <c r="A283" s="23" t="s">
        <v>54</v>
      </c>
      <c r="B283" t="s">
        <v>55</v>
      </c>
      <c r="C283">
        <v>2024</v>
      </c>
      <c r="D283" t="s">
        <v>60</v>
      </c>
      <c r="E283" t="s">
        <v>67</v>
      </c>
      <c r="F283" s="9" t="s">
        <v>5</v>
      </c>
      <c r="G283" s="81">
        <v>11883.992306666667</v>
      </c>
      <c r="H283" s="81">
        <v>38214.434544499643</v>
      </c>
      <c r="I283" s="81">
        <v>20676.469893890549</v>
      </c>
      <c r="J283" s="81">
        <v>29758.016704582147</v>
      </c>
      <c r="K283" s="81">
        <v>47290.619322995844</v>
      </c>
      <c r="L283" s="18">
        <v>4</v>
      </c>
      <c r="M283" s="19">
        <v>1.5</v>
      </c>
      <c r="N283" s="40">
        <v>11883.992306666667</v>
      </c>
      <c r="O283" s="40">
        <v>25476.289696333097</v>
      </c>
      <c r="P283" s="40">
        <v>13784.3132625937</v>
      </c>
      <c r="Q283" s="40">
        <v>19838.677803054765</v>
      </c>
      <c r="R283" s="40">
        <v>31527.079548663896</v>
      </c>
      <c r="S283" s="42">
        <v>25476.289696333097</v>
      </c>
      <c r="T283" t="s">
        <v>68</v>
      </c>
      <c r="AA283" s="89"/>
      <c r="AB283" s="89"/>
      <c r="AC283" s="90"/>
      <c r="AD283" s="90"/>
      <c r="AE283" s="91"/>
      <c r="AF283" s="91"/>
    </row>
    <row r="284" spans="1:32" hidden="1" x14ac:dyDescent="0.35">
      <c r="A284" s="23" t="s">
        <v>54</v>
      </c>
      <c r="B284" t="s">
        <v>55</v>
      </c>
      <c r="C284">
        <v>2024</v>
      </c>
      <c r="D284" t="s">
        <v>60</v>
      </c>
      <c r="E284" t="s">
        <v>67</v>
      </c>
      <c r="F284" s="10" t="s">
        <v>6</v>
      </c>
      <c r="G284" s="81">
        <v>5017.126236666667</v>
      </c>
      <c r="H284" s="81">
        <v>17051.46611849964</v>
      </c>
      <c r="I284" s="81">
        <v>8735.8954601775495</v>
      </c>
      <c r="J284" s="81">
        <v>13076.958919327148</v>
      </c>
      <c r="K284" s="81">
        <v>21128.28255589024</v>
      </c>
      <c r="L284" s="18">
        <v>4</v>
      </c>
      <c r="M284" s="19">
        <v>1.5</v>
      </c>
      <c r="N284" s="40">
        <v>11883.992306666667</v>
      </c>
      <c r="O284" s="40">
        <v>25476.289696333097</v>
      </c>
      <c r="P284" s="40">
        <v>13784.3132625937</v>
      </c>
      <c r="Q284" s="40">
        <v>19838.677803054765</v>
      </c>
      <c r="R284" s="40">
        <v>31527.079548663896</v>
      </c>
      <c r="S284" s="42">
        <v>25476.289696333097</v>
      </c>
      <c r="T284" t="s">
        <v>68</v>
      </c>
      <c r="AA284" s="89"/>
      <c r="AB284" s="89"/>
      <c r="AC284" s="90"/>
      <c r="AD284" s="90"/>
      <c r="AE284" s="91"/>
      <c r="AF284" s="91"/>
    </row>
    <row r="285" spans="1:32" hidden="1" x14ac:dyDescent="0.35">
      <c r="A285" s="23" t="s">
        <v>54</v>
      </c>
      <c r="B285" t="s">
        <v>55</v>
      </c>
      <c r="C285">
        <v>2024</v>
      </c>
      <c r="D285" t="s">
        <v>60</v>
      </c>
      <c r="E285" t="s">
        <v>67</v>
      </c>
      <c r="F285" s="10" t="s">
        <v>7</v>
      </c>
      <c r="G285" s="81">
        <v>2108.7946000000002</v>
      </c>
      <c r="H285" s="81">
        <v>6178.7681780000003</v>
      </c>
      <c r="I285" s="81">
        <v>3575.809195409</v>
      </c>
      <c r="J285" s="81">
        <v>4923.5609122149999</v>
      </c>
      <c r="K285" s="81">
        <v>7619.1761119408002</v>
      </c>
      <c r="L285" s="18">
        <v>4</v>
      </c>
      <c r="M285" s="19">
        <v>1.5</v>
      </c>
      <c r="N285" s="40">
        <v>11883.992306666667</v>
      </c>
      <c r="O285" s="40">
        <v>25476.289696333097</v>
      </c>
      <c r="P285" s="40">
        <v>13784.3132625937</v>
      </c>
      <c r="Q285" s="40">
        <v>19838.677803054765</v>
      </c>
      <c r="R285" s="40">
        <v>31527.079548663896</v>
      </c>
      <c r="S285" s="42">
        <v>25476.289696333097</v>
      </c>
      <c r="T285" t="s">
        <v>68</v>
      </c>
      <c r="AA285" s="89"/>
      <c r="AB285" s="89"/>
      <c r="AC285" s="90"/>
      <c r="AD285" s="90"/>
      <c r="AE285" s="91"/>
      <c r="AF285" s="91"/>
    </row>
    <row r="286" spans="1:32" hidden="1" x14ac:dyDescent="0.35">
      <c r="A286" s="23" t="s">
        <v>54</v>
      </c>
      <c r="B286" t="s">
        <v>55</v>
      </c>
      <c r="C286">
        <v>2024</v>
      </c>
      <c r="D286" t="s">
        <v>60</v>
      </c>
      <c r="E286" t="s">
        <v>67</v>
      </c>
      <c r="F286" s="3" t="s">
        <v>8</v>
      </c>
      <c r="G286" s="81">
        <v>974.81386999999995</v>
      </c>
      <c r="H286" s="81">
        <v>3899.2554799999998</v>
      </c>
      <c r="I286" s="81">
        <v>1949.6277399999999</v>
      </c>
      <c r="J286" s="81">
        <v>2924.4416099999999</v>
      </c>
      <c r="K286" s="81">
        <v>4874.0693499999998</v>
      </c>
      <c r="L286" s="18">
        <v>4</v>
      </c>
      <c r="M286" s="19">
        <v>1.5</v>
      </c>
      <c r="N286" s="40">
        <v>11883.992306666667</v>
      </c>
      <c r="O286" s="40">
        <v>25476.289696333097</v>
      </c>
      <c r="P286" s="40">
        <v>13784.3132625937</v>
      </c>
      <c r="Q286" s="40">
        <v>19838.677803054765</v>
      </c>
      <c r="R286" s="40">
        <v>31527.079548663896</v>
      </c>
      <c r="S286" s="42">
        <v>25476.289696333097</v>
      </c>
      <c r="T286" t="s">
        <v>68</v>
      </c>
      <c r="AA286" s="89"/>
      <c r="AB286" s="89"/>
      <c r="AC286" s="90"/>
      <c r="AD286" s="90"/>
      <c r="AE286" s="91"/>
      <c r="AF286" s="91"/>
    </row>
    <row r="287" spans="1:32" hidden="1" x14ac:dyDescent="0.35">
      <c r="A287" s="23" t="s">
        <v>54</v>
      </c>
      <c r="B287" t="s">
        <v>55</v>
      </c>
      <c r="C287">
        <v>2024</v>
      </c>
      <c r="D287" t="s">
        <v>60</v>
      </c>
      <c r="E287" t="s">
        <v>67</v>
      </c>
      <c r="F287" s="3" t="s">
        <v>9</v>
      </c>
      <c r="G287" s="81">
        <v>3783.2575999999999</v>
      </c>
      <c r="H287" s="81">
        <v>11084.944768000001</v>
      </c>
      <c r="I287" s="81">
        <v>6415.1374983039996</v>
      </c>
      <c r="J287" s="81">
        <v>8833.0552630399998</v>
      </c>
      <c r="K287" s="81">
        <v>13669.0913051648</v>
      </c>
      <c r="L287" s="18">
        <v>4</v>
      </c>
      <c r="M287" s="19">
        <v>1.5</v>
      </c>
      <c r="N287" s="40">
        <v>11883.992306666667</v>
      </c>
      <c r="O287" s="40">
        <v>25476.289696333097</v>
      </c>
      <c r="P287" s="40">
        <v>13784.3132625937</v>
      </c>
      <c r="Q287" s="40">
        <v>19838.677803054765</v>
      </c>
      <c r="R287" s="40">
        <v>31527.079548663896</v>
      </c>
      <c r="S287" s="42">
        <v>25476.289696333097</v>
      </c>
      <c r="T287" t="s">
        <v>68</v>
      </c>
      <c r="AA287" s="89"/>
      <c r="AB287" s="89"/>
      <c r="AC287" s="90"/>
      <c r="AD287" s="90"/>
      <c r="AE287" s="91"/>
      <c r="AF287" s="91"/>
    </row>
    <row r="288" spans="1:32" s="46" customFormat="1" hidden="1" x14ac:dyDescent="0.35">
      <c r="A288" s="68" t="s">
        <v>54</v>
      </c>
      <c r="B288" s="46" t="s">
        <v>55</v>
      </c>
      <c r="C288" s="46">
        <v>2025</v>
      </c>
      <c r="D288" s="46" t="s">
        <v>141</v>
      </c>
      <c r="E288" s="46" t="s">
        <v>67</v>
      </c>
      <c r="F288" s="69" t="s">
        <v>5</v>
      </c>
      <c r="G288" s="80">
        <v>12143.063338952001</v>
      </c>
      <c r="H288" s="80">
        <v>39047.509217569735</v>
      </c>
      <c r="I288" s="80">
        <v>21127.216937577363</v>
      </c>
      <c r="J288" s="80">
        <v>30406.741468742039</v>
      </c>
      <c r="K288" s="80">
        <v>48321.554824237159</v>
      </c>
      <c r="L288" s="18">
        <v>4</v>
      </c>
      <c r="M288" s="65">
        <v>1.5</v>
      </c>
      <c r="N288" s="80">
        <v>12143.063338952001</v>
      </c>
      <c r="O288" s="46">
        <v>26031.672811713157</v>
      </c>
      <c r="P288" s="46">
        <v>14084.811291718243</v>
      </c>
      <c r="Q288" s="46">
        <v>20271.160979161359</v>
      </c>
      <c r="R288" s="46">
        <v>32214.369882824773</v>
      </c>
      <c r="S288" s="46">
        <v>20271.160979161359</v>
      </c>
      <c r="T288" s="46" t="s">
        <v>68</v>
      </c>
      <c r="V288" s="110"/>
      <c r="W288" s="103"/>
      <c r="X288" s="92"/>
      <c r="Y288" s="92"/>
      <c r="AA288" s="89"/>
      <c r="AB288" s="89"/>
      <c r="AC288" s="90"/>
      <c r="AD288" s="90"/>
      <c r="AE288" s="91"/>
      <c r="AF288" s="91"/>
    </row>
  </sheetData>
  <autoFilter ref="A3:Y288" xr:uid="{A7D0016C-C92B-40D8-B313-F97903FB9ABF}">
    <filterColumn colId="1">
      <filters>
        <filter val="Viet Nam"/>
      </filters>
    </filterColumn>
  </autoFilter>
  <mergeCells count="3">
    <mergeCell ref="F2:T2"/>
    <mergeCell ref="V2:Y2"/>
    <mergeCell ref="AA2:AF2"/>
  </mergeCells>
  <phoneticPr fontId="1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91DB-EF7F-490F-BD6E-009DBCFA77CB}">
  <dimension ref="A1:B45"/>
  <sheetViews>
    <sheetView workbookViewId="0">
      <selection activeCell="Q39" sqref="Q39"/>
    </sheetView>
  </sheetViews>
  <sheetFormatPr defaultRowHeight="14.5" x14ac:dyDescent="0.35"/>
  <cols>
    <col min="2" max="2" width="34.54296875" customWidth="1"/>
  </cols>
  <sheetData>
    <row r="1" spans="1:2" ht="15" thickBot="1" x14ac:dyDescent="0.4">
      <c r="A1" s="27" t="s">
        <v>20</v>
      </c>
      <c r="B1" s="28" t="s">
        <v>69</v>
      </c>
    </row>
    <row r="2" spans="1:2" ht="15" thickBot="1" x14ac:dyDescent="0.4">
      <c r="A2" s="120" t="s">
        <v>70</v>
      </c>
      <c r="B2" s="29" t="s">
        <v>71</v>
      </c>
    </row>
    <row r="3" spans="1:2" ht="15" thickBot="1" x14ac:dyDescent="0.4">
      <c r="A3" s="121"/>
      <c r="B3" s="30" t="s">
        <v>72</v>
      </c>
    </row>
    <row r="4" spans="1:2" ht="15" thickBot="1" x14ac:dyDescent="0.4">
      <c r="A4" s="121"/>
      <c r="B4" s="29" t="s">
        <v>73</v>
      </c>
    </row>
    <row r="5" spans="1:2" ht="15" thickBot="1" x14ac:dyDescent="0.4">
      <c r="A5" s="121"/>
      <c r="B5" s="30" t="s">
        <v>74</v>
      </c>
    </row>
    <row r="6" spans="1:2" ht="15" thickBot="1" x14ac:dyDescent="0.4">
      <c r="A6" s="121"/>
      <c r="B6" s="29" t="s">
        <v>75</v>
      </c>
    </row>
    <row r="7" spans="1:2" ht="15" thickBot="1" x14ac:dyDescent="0.4">
      <c r="A7" s="121"/>
      <c r="B7" s="30" t="s">
        <v>76</v>
      </c>
    </row>
    <row r="8" spans="1:2" ht="15" thickBot="1" x14ac:dyDescent="0.4">
      <c r="A8" s="122"/>
      <c r="B8" s="29" t="s">
        <v>77</v>
      </c>
    </row>
    <row r="9" spans="1:2" ht="15" thickBot="1" x14ac:dyDescent="0.4">
      <c r="A9" s="31"/>
      <c r="B9" s="31"/>
    </row>
    <row r="10" spans="1:2" ht="15" thickBot="1" x14ac:dyDescent="0.4">
      <c r="A10" s="120" t="s">
        <v>78</v>
      </c>
      <c r="B10" s="30" t="s">
        <v>79</v>
      </c>
    </row>
    <row r="11" spans="1:2" ht="15" thickBot="1" x14ac:dyDescent="0.4">
      <c r="A11" s="121"/>
      <c r="B11" s="29" t="s">
        <v>80</v>
      </c>
    </row>
    <row r="12" spans="1:2" ht="15" thickBot="1" x14ac:dyDescent="0.4">
      <c r="A12" s="121"/>
      <c r="B12" s="30" t="s">
        <v>81</v>
      </c>
    </row>
    <row r="13" spans="1:2" ht="15" thickBot="1" x14ac:dyDescent="0.4">
      <c r="A13" s="121"/>
      <c r="B13" s="29" t="s">
        <v>82</v>
      </c>
    </row>
    <row r="14" spans="1:2" ht="15" thickBot="1" x14ac:dyDescent="0.4">
      <c r="A14" s="121"/>
      <c r="B14" s="30" t="s">
        <v>83</v>
      </c>
    </row>
    <row r="15" spans="1:2" ht="15" thickBot="1" x14ac:dyDescent="0.4">
      <c r="A15" s="122"/>
      <c r="B15" s="29" t="s">
        <v>84</v>
      </c>
    </row>
    <row r="16" spans="1:2" ht="15" thickBot="1" x14ac:dyDescent="0.4">
      <c r="A16" s="31"/>
      <c r="B16" s="31"/>
    </row>
    <row r="17" spans="1:2" ht="15" thickBot="1" x14ac:dyDescent="0.4">
      <c r="A17" s="120" t="s">
        <v>85</v>
      </c>
      <c r="B17" s="30" t="s">
        <v>86</v>
      </c>
    </row>
    <row r="18" spans="1:2" ht="15" thickBot="1" x14ac:dyDescent="0.4">
      <c r="A18" s="121"/>
      <c r="B18" s="29" t="s">
        <v>87</v>
      </c>
    </row>
    <row r="19" spans="1:2" ht="15" thickBot="1" x14ac:dyDescent="0.4">
      <c r="A19" s="121"/>
      <c r="B19" s="30" t="s">
        <v>88</v>
      </c>
    </row>
    <row r="20" spans="1:2" ht="15" thickBot="1" x14ac:dyDescent="0.4">
      <c r="A20" s="121"/>
      <c r="B20" s="29" t="s">
        <v>89</v>
      </c>
    </row>
    <row r="21" spans="1:2" ht="15" thickBot="1" x14ac:dyDescent="0.4">
      <c r="A21" s="122"/>
      <c r="B21" s="30" t="s">
        <v>90</v>
      </c>
    </row>
    <row r="22" spans="1:2" ht="15" thickBot="1" x14ac:dyDescent="0.4">
      <c r="A22" s="31"/>
      <c r="B22" s="31"/>
    </row>
    <row r="23" spans="1:2" ht="15" thickBot="1" x14ac:dyDescent="0.4">
      <c r="A23" s="120" t="s">
        <v>91</v>
      </c>
      <c r="B23" s="29" t="s">
        <v>92</v>
      </c>
    </row>
    <row r="24" spans="1:2" ht="15" thickBot="1" x14ac:dyDescent="0.4">
      <c r="A24" s="121"/>
      <c r="B24" s="30" t="s">
        <v>93</v>
      </c>
    </row>
    <row r="25" spans="1:2" ht="15" thickBot="1" x14ac:dyDescent="0.4">
      <c r="A25" s="121"/>
      <c r="B25" s="29" t="s">
        <v>94</v>
      </c>
    </row>
    <row r="26" spans="1:2" ht="15" thickBot="1" x14ac:dyDescent="0.4">
      <c r="A26" s="121"/>
      <c r="B26" s="30" t="s">
        <v>95</v>
      </c>
    </row>
    <row r="27" spans="1:2" ht="15" thickBot="1" x14ac:dyDescent="0.4">
      <c r="A27" s="121"/>
      <c r="B27" s="29" t="s">
        <v>96</v>
      </c>
    </row>
    <row r="28" spans="1:2" ht="15" thickBot="1" x14ac:dyDescent="0.4">
      <c r="A28" s="32"/>
      <c r="B28" s="33"/>
    </row>
    <row r="29" spans="1:2" ht="15" thickBot="1" x14ac:dyDescent="0.4">
      <c r="A29" s="123" t="s">
        <v>97</v>
      </c>
      <c r="B29" s="34" t="s">
        <v>98</v>
      </c>
    </row>
    <row r="30" spans="1:2" ht="15" thickBot="1" x14ac:dyDescent="0.4">
      <c r="A30" s="124"/>
      <c r="B30" s="33" t="s">
        <v>99</v>
      </c>
    </row>
    <row r="31" spans="1:2" ht="15" thickBot="1" x14ac:dyDescent="0.4">
      <c r="A31" s="124"/>
      <c r="B31" s="34" t="s">
        <v>100</v>
      </c>
    </row>
    <row r="32" spans="1:2" ht="15" thickBot="1" x14ac:dyDescent="0.4">
      <c r="A32" s="124"/>
      <c r="B32" s="33" t="s">
        <v>101</v>
      </c>
    </row>
    <row r="33" spans="1:2" ht="15" thickBot="1" x14ac:dyDescent="0.4">
      <c r="A33" s="124"/>
      <c r="B33" s="34" t="s">
        <v>102</v>
      </c>
    </row>
    <row r="34" spans="1:2" ht="15" thickBot="1" x14ac:dyDescent="0.4">
      <c r="A34" s="124"/>
      <c r="B34" s="33" t="s">
        <v>103</v>
      </c>
    </row>
    <row r="35" spans="1:2" ht="15" thickBot="1" x14ac:dyDescent="0.4">
      <c r="A35" s="125"/>
      <c r="B35" s="34" t="s">
        <v>104</v>
      </c>
    </row>
    <row r="36" spans="1:2" ht="15" thickBot="1" x14ac:dyDescent="0.4">
      <c r="A36" s="31"/>
      <c r="B36" s="31"/>
    </row>
    <row r="37" spans="1:2" ht="15" thickBot="1" x14ac:dyDescent="0.4">
      <c r="A37" s="118" t="s">
        <v>105</v>
      </c>
      <c r="B37" s="30" t="s">
        <v>106</v>
      </c>
    </row>
    <row r="38" spans="1:2" ht="15" thickBot="1" x14ac:dyDescent="0.4">
      <c r="A38" s="119"/>
      <c r="B38" s="29" t="s">
        <v>107</v>
      </c>
    </row>
    <row r="39" spans="1:2" ht="15" thickBot="1" x14ac:dyDescent="0.4">
      <c r="A39" s="119"/>
      <c r="B39" s="30" t="s">
        <v>108</v>
      </c>
    </row>
    <row r="40" spans="1:2" ht="15" thickBot="1" x14ac:dyDescent="0.4">
      <c r="A40" s="119"/>
      <c r="B40" s="29" t="s">
        <v>109</v>
      </c>
    </row>
    <row r="41" spans="1:2" ht="15" thickBot="1" x14ac:dyDescent="0.4">
      <c r="A41" s="119"/>
      <c r="B41" s="30" t="s">
        <v>110</v>
      </c>
    </row>
    <row r="42" spans="1:2" ht="15" thickBot="1" x14ac:dyDescent="0.4">
      <c r="A42" s="119"/>
      <c r="B42" s="29" t="s">
        <v>111</v>
      </c>
    </row>
    <row r="45" spans="1:2" x14ac:dyDescent="0.35">
      <c r="A45" s="35" t="s">
        <v>112</v>
      </c>
    </row>
  </sheetData>
  <mergeCells count="6">
    <mergeCell ref="A37:A42"/>
    <mergeCell ref="A2:A8"/>
    <mergeCell ref="A10:A15"/>
    <mergeCell ref="A17:A21"/>
    <mergeCell ref="A23:A27"/>
    <mergeCell ref="A29:A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f389a7-db5f-4bed-a7f0-e5c9560159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4C2EA5550AC49B821F89D3F62C73A" ma:contentTypeVersion="10" ma:contentTypeDescription="Create a new document." ma:contentTypeScope="" ma:versionID="2e021394c66e70a3581ce1460e9d2bdc">
  <xsd:schema xmlns:xsd="http://www.w3.org/2001/XMLSchema" xmlns:xs="http://www.w3.org/2001/XMLSchema" xmlns:p="http://schemas.microsoft.com/office/2006/metadata/properties" xmlns:ns3="b8f389a7-db5f-4bed-a7f0-e5c9560159b5" targetNamespace="http://schemas.microsoft.com/office/2006/metadata/properties" ma:root="true" ma:fieldsID="fff2ca1d9a552dd0149567608792514b" ns3:_="">
    <xsd:import namespace="b8f389a7-db5f-4bed-a7f0-e5c9560159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389a7-db5f-4bed-a7f0-e5c9560159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C3D414-C686-42C2-BBBD-1886F7E752AA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b8f389a7-db5f-4bed-a7f0-e5c9560159b5"/>
  </ds:schemaRefs>
</ds:datastoreItem>
</file>

<file path=customXml/itemProps2.xml><?xml version="1.0" encoding="utf-8"?>
<ds:datastoreItem xmlns:ds="http://schemas.openxmlformats.org/officeDocument/2006/customXml" ds:itemID="{1D939902-783D-4E74-884E-C01F55F2F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f389a7-db5f-4bed-a7f0-e5c956015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9D96DA-95A5-4786-9989-3F64C84BE1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Wage Data Hub</vt:lpstr>
      <vt:lpstr>India regions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Maitre, Nicolas</dc:creator>
  <cp:lastModifiedBy>Estupiñan, Gonzalo Xavier</cp:lastModifiedBy>
  <dcterms:created xsi:type="dcterms:W3CDTF">2025-06-06T12:32:46Z</dcterms:created>
  <dcterms:modified xsi:type="dcterms:W3CDTF">2026-04-21T03:25:32Z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0x0101008904C2EA5550AC49B821F89D3F62C73A</vt:lpwstr>
  </property>
</Properties>
</file>